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4c37f226e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1c811d8eab804c2e"/>
    <x:sheet xmlns:r="http://schemas.openxmlformats.org/officeDocument/2006/relationships" name="Produtos" sheetId="2" r:id="R60d5d9b1a27346d8"/>
    <x:sheet xmlns:r="http://schemas.openxmlformats.org/officeDocument/2006/relationships" name="Pedidos" sheetId="3" r:id="R871ab42df74b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&quot;R$&quot; #,##0.00"/>
    <x:numFmt numFmtId="202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2" fillId="0" borderId="2" xfId="0" applyNumberFormat="1" applyFont="1" applyFill="1" applyBorder="1" applyAlignment="1">
      <x:alignment horizontal="left"/>
    </x:xf>
    <x:xf numFmtId="0" fontId="2" fillId="0" borderId="3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 applyAlignment="1">
      <x:alignment horizontal="left" vertical="center"/>
    </x:xf>
    <x:xf numFmtId="0" fontId="2" fillId="0" borderId="2" xfId="0" applyNumberFormat="1" applyFont="1" applyFill="1" applyBorder="1" applyAlignment="1">
      <x:alignment horizontal="left" vertical="center"/>
    </x:xf>
    <x:xf numFmtId="0" fontId="2" fillId="0" borderId="3" xfId="0" applyNumberFormat="1" applyFont="1" applyFill="1" applyBorder="1" applyAlignment="1">
      <x:alignment horizontal="left" vertical="center"/>
    </x:xf>
    <x:xf numFmtId="200" fontId="2" fillId="0" borderId="3" xfId="0" applyNumberFormat="1" applyFont="1" applyFill="1" applyBorder="1" applyAlignment="1">
      <x:alignment horizontal="left" vertical="center"/>
    </x:xf>
    <x:xf numFmtId="201" fontId="2" fillId="0" borderId="2" xfId="0" applyNumberFormat="1" applyFont="1" applyFill="1" applyBorder="1" applyAlignment="1">
      <x:alignment horizontal="left" vertical="center"/>
    </x:xf>
    <x:xf numFmtId="202" fontId="2" fillId="0" borderId="2" xfId="0" applyNumberFormat="1" applyFont="1" applyFill="1" applyBorder="1" applyAlignment="1">
      <x:alignment horizontal="left" vertical="center"/>
    </x:xf>
    <x:xf numFmtId="200" fontId="2" fillId="0" borderId="2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2a0da516247e4" /><Relationship Type="http://schemas.openxmlformats.org/officeDocument/2006/relationships/theme" Target="/xl/theme/theme1.xml" Id="R9bdcad9771794270" /><Relationship Type="http://schemas.openxmlformats.org/officeDocument/2006/relationships/sharedStrings" Target="/xl/sharedStrings.xml" Id="Rde7fd13ac8a246f9" /><Relationship Type="http://schemas.openxmlformats.org/officeDocument/2006/relationships/worksheet" Target="/xl/worksheets/sheet1.xml" Id="R1c811d8eab804c2e" /><Relationship Type="http://schemas.openxmlformats.org/officeDocument/2006/relationships/worksheet" Target="/xl/worksheets/sheet2.xml" Id="R60d5d9b1a27346d8" /><Relationship Type="http://schemas.openxmlformats.org/officeDocument/2006/relationships/worksheet" Target="/xl/worksheets/sheet3.xml" Id="R871ab42df74b4d23" /></Relationships>
</file>

<file path=xl/tables/table1.xml><?xml version="1.0" encoding="utf-8"?>
<x:table xmlns:x="http://schemas.openxmlformats.org/spreadsheetml/2006/main" id="1" name="TabelaClientes" displayName="TabelaClientes" ref="A1:H101" headerRowCount="1" totalsRowCount="0" totalsRowShown="0">
  <x:autoFilter ref="A1:H101"/>
  <x:tableColumns count="8">
    <x:tableColumn id="1" name="ID do Cliente"/>
    <x:tableColumn id="2" name="Nome"/>
    <x:tableColumn id="3" name="E-mail"/>
    <x:tableColumn id="4" name="Telefone"/>
    <x:tableColumn id="5" name="Cidade"/>
    <x:tableColumn id="6" name="UF"/>
    <x:tableColumn id="7" name="Segmento"/>
    <x:tableColumn id="8" name="Data de Cadastr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Produtos" displayName="TabelaProdutos" ref="A1:F11" headerRowCount="1" totalsRowCount="0" totalsRowShown="0">
  <x:autoFilter ref="A1:F11"/>
  <x:tableColumns count="6">
    <x:tableColumn id="1" name="ID do Produto"/>
    <x:tableColumn id="2" name="Produto"/>
    <x:tableColumn id="3" name="Categoria"/>
    <x:tableColumn id="4" name="Preço Unitário (R$)"/>
    <x:tableColumn id="5" name="Estoque"/>
    <x:tableColumn id="6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Pedidos" displayName="TabelaPedidos" ref="A1:L501" headerRowCount="1" totalsRowCount="0" totalsRowShown="0">
  <x:autoFilter ref="A1:L501"/>
  <x:tableColumns count="12">
    <x:tableColumn id="1" name="ID do Pedido"/>
    <x:tableColumn id="2" name="Data do Pedido"/>
    <x:tableColumn id="3" name="ID do Cliente"/>
    <x:tableColumn id="4" name="Cliente"/>
    <x:tableColumn id="5" name="ID do Produto"/>
    <x:tableColumn id="6" name="Produto"/>
    <x:tableColumn id="7" name="Quantidade"/>
    <x:tableColumn id="8" name="Preço Unitário (R$)"/>
    <x:tableColumn id="9" name="Valor Total (R$)"/>
    <x:tableColumn id="10" name="Forma de Pagamento"/>
    <x:tableColumn id="11" name="Status"/>
    <x:tableColumn id="12" name="UF do 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707cc1786541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8f1b07ccc74e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6f2272d00640bf" /></Relationships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38" hidden="0" customWidth="1"/>
    <x:col min="4" max="4" width="20" hidden="0" customWidth="1"/>
    <x:col min="5" max="5" width="21" hidden="0" customWidth="1"/>
    <x:col min="6" max="6" width="8" hidden="0" customWidth="1"/>
    <x:col min="7" max="7" width="20" hidden="0" customWidth="1"/>
    <x:col min="8" max="8" width="16" hidden="0" customWidth="1"/>
  </x:cols>
  <x:sheetData>
    <x:row r="1" ht="30" customHeight="1">
      <x:c r="A1" s="5" t="str">
        <x:v>ID do Cliente</x:v>
      </x:c>
      <x:c r="B1" s="5" t="str">
        <x:v>Nome</x:v>
      </x:c>
      <x:c r="C1" s="5" t="str">
        <x:v>E-mail</x:v>
      </x:c>
      <x:c r="D1" s="5" t="str">
        <x:v>Telefone</x:v>
      </x:c>
      <x:c r="E1" s="5" t="str">
        <x:v>Cidade</x:v>
      </x:c>
      <x:c r="F1" s="5" t="str">
        <x:v>UF</x:v>
      </x:c>
      <x:c r="G1" s="5" t="str">
        <x:v>Segmento</x:v>
      </x:c>
      <x:c r="H1" s="5" t="str">
        <x:v>Data de Cadastro</x:v>
      </x:c>
    </x:row>
    <x:row r="2" ht="20" customHeight="1">
      <x:c r="A2" s="13" t="str">
        <x:v>CLI0001</x:v>
      </x:c>
      <x:c r="B2" s="14" t="str">
        <x:v>Lucas Lima Garcia</x:v>
      </x:c>
      <x:c r="C2" s="14" t="str">
        <x:v>lucas.lima.garcia.001@exemplo.invalid</x:v>
      </x:c>
      <x:c r="D2" s="14" t="str">
        <x:v>(00) 90000-0001</x:v>
      </x:c>
      <x:c r="E2" s="14" t="str">
        <x:v>Fortaleza</x:v>
      </x:c>
      <x:c r="F2" s="14" t="str">
        <x:v>CE</x:v>
      </x:c>
      <x:c r="G2" s="14" t="str">
        <x:v>Educação</x:v>
      </x:c>
      <x:c r="H2" s="16" t="n">
        <x:v>45846</x:v>
      </x:c>
    </x:row>
    <x:row r="3" ht="20" customHeight="1">
      <x:c r="A3" s="13" t="str">
        <x:v>CLI0002</x:v>
      </x:c>
      <x:c r="B3" s="14" t="str">
        <x:v>Enzo Cardoso Mendes</x:v>
      </x:c>
      <x:c r="C3" s="14" t="str">
        <x:v>enzo.cardoso.mendes.002@exemplo.invalid</x:v>
      </x:c>
      <x:c r="D3" s="14" t="str">
        <x:v>(00) 90000-0002</x:v>
      </x:c>
      <x:c r="E3" s="14" t="str">
        <x:v>Londrina</x:v>
      </x:c>
      <x:c r="F3" s="14" t="str">
        <x:v>PR</x:v>
      </x:c>
      <x:c r="G3" s="14" t="str">
        <x:v>Serviços</x:v>
      </x:c>
      <x:c r="H3" s="16" t="n">
        <x:v>45237</x:v>
      </x:c>
    </x:row>
    <x:row r="4" ht="20" customHeight="1">
      <x:c r="A4" s="13" t="str">
        <x:v>CLI0003</x:v>
      </x:c>
      <x:c r="B4" s="14" t="str">
        <x:v>Felipe Pereira Ferreira</x:v>
      </x:c>
      <x:c r="C4" s="14" t="str">
        <x:v>felipe.pereira.ferreira.003@exemplo.invalid</x:v>
      </x:c>
      <x:c r="D4" s="14" t="str">
        <x:v>(00) 90000-0003</x:v>
      </x:c>
      <x:c r="E4" s="14" t="str">
        <x:v>Caxias do Sul</x:v>
      </x:c>
      <x:c r="F4" s="14" t="str">
        <x:v>RS</x:v>
      </x:c>
      <x:c r="G4" s="14" t="str">
        <x:v>Tecnologia</x:v>
      </x:c>
      <x:c r="H4" s="16" t="n">
        <x:v>43858</x:v>
      </x:c>
    </x:row>
    <x:row r="5" ht="20" customHeight="1">
      <x:c r="A5" s="13" t="str">
        <x:v>CLI0004</x:v>
      </x:c>
      <x:c r="B5" s="14" t="str">
        <x:v>Enzo Ibrahim Queiroz</x:v>
      </x:c>
      <x:c r="C5" s="14" t="str">
        <x:v>enzo.ibrahim.queiroz.004@exemplo.invalid</x:v>
      </x:c>
      <x:c r="D5" s="14" t="str">
        <x:v>(00) 90000-0004</x:v>
      </x:c>
      <x:c r="E5" s="14" t="str">
        <x:v>Campinas</x:v>
      </x:c>
      <x:c r="F5" s="14" t="str">
        <x:v>SP</x:v>
      </x:c>
      <x:c r="G5" s="14" t="str">
        <x:v>Construção</x:v>
      </x:c>
      <x:c r="H5" s="16" t="n">
        <x:v>45618</x:v>
      </x:c>
    </x:row>
    <x:row r="6" ht="20" customHeight="1">
      <x:c r="A6" s="13" t="str">
        <x:v>CLI0005</x:v>
      </x:c>
      <x:c r="B6" s="14" t="str">
        <x:v>Daniel Gomes Silva</x:v>
      </x:c>
      <x:c r="C6" s="14" t="str">
        <x:v>daniel.gomes.silva.005@exemplo.invalid</x:v>
      </x:c>
      <x:c r="D6" s="14" t="str">
        <x:v>(00) 90000-0005</x:v>
      </x:c>
      <x:c r="E6" s="14" t="str">
        <x:v>Caxias do Sul</x:v>
      </x:c>
      <x:c r="F6" s="14" t="str">
        <x:v>RS</x:v>
      </x:c>
      <x:c r="G6" s="14" t="str">
        <x:v>Educação</x:v>
      </x:c>
      <x:c r="H6" s="16" t="n">
        <x:v>43512</x:v>
      </x:c>
    </x:row>
    <x:row r="7" ht="20" customHeight="1">
      <x:c r="A7" s="13" t="str">
        <x:v>CLI0006</x:v>
      </x:c>
      <x:c r="B7" s="14" t="str">
        <x:v>Caio Cardoso Batista</x:v>
      </x:c>
      <x:c r="C7" s="14" t="str">
        <x:v>caio.cardoso.batista.006@exemplo.invalid</x:v>
      </x:c>
      <x:c r="D7" s="14" t="str">
        <x:v>(00) 90000-0006</x:v>
      </x:c>
      <x:c r="E7" s="14" t="str">
        <x:v>Campinas</x:v>
      </x:c>
      <x:c r="F7" s="14" t="str">
        <x:v>SP</x:v>
      </x:c>
      <x:c r="G7" s="14" t="str">
        <x:v>Serviços</x:v>
      </x:c>
      <x:c r="H7" s="16" t="n">
        <x:v>43781</x:v>
      </x:c>
    </x:row>
    <x:row r="8" ht="20" customHeight="1">
      <x:c r="A8" s="13" t="str">
        <x:v>CLI0007</x:v>
      </x:c>
      <x:c r="B8" s="14" t="str">
        <x:v>Daniel Andrade Ferreira</x:v>
      </x:c>
      <x:c r="C8" s="14" t="str">
        <x:v>daniel.andrade.ferreira.007@exemplo.invalid</x:v>
      </x:c>
      <x:c r="D8" s="14" t="str">
        <x:v>(00) 90000-0007</x:v>
      </x:c>
      <x:c r="E8" s="14" t="str">
        <x:v>Caxias do Sul</x:v>
      </x:c>
      <x:c r="F8" s="14" t="str">
        <x:v>RS</x:v>
      </x:c>
      <x:c r="G8" s="14" t="str">
        <x:v>Tecnologia</x:v>
      </x:c>
      <x:c r="H8" s="16" t="n">
        <x:v>45018</x:v>
      </x:c>
    </x:row>
    <x:row r="9" ht="20" customHeight="1">
      <x:c r="A9" s="13" t="str">
        <x:v>CLI0008</x:v>
      </x:c>
      <x:c r="B9" s="14" t="str">
        <x:v>Enzo Esteves Junqueira</x:v>
      </x:c>
      <x:c r="C9" s="14" t="str">
        <x:v>enzo.esteves.junqueira.008@exemplo.invalid</x:v>
      </x:c>
      <x:c r="D9" s="14" t="str">
        <x:v>(00) 90000-0008</x:v>
      </x:c>
      <x:c r="E9" s="14" t="str">
        <x:v>Londrina</x:v>
      </x:c>
      <x:c r="F9" s="14" t="str">
        <x:v>PR</x:v>
      </x:c>
      <x:c r="G9" s="14" t="str">
        <x:v>Construção</x:v>
      </x:c>
      <x:c r="H9" s="16" t="n">
        <x:v>43820</x:v>
      </x:c>
    </x:row>
    <x:row r="10" ht="20" customHeight="1">
      <x:c r="A10" s="13" t="str">
        <x:v>CLI0009</x:v>
      </x:c>
      <x:c r="B10" s="14" t="str">
        <x:v>Igor Cardoso Duarte</x:v>
      </x:c>
      <x:c r="C10" s="14" t="str">
        <x:v>igor.cardoso.duarte.009@exemplo.invalid</x:v>
      </x:c>
      <x:c r="D10" s="14" t="str">
        <x:v>(00) 90000-0009</x:v>
      </x:c>
      <x:c r="E10" s="14" t="str">
        <x:v>Blumenau</x:v>
      </x:c>
      <x:c r="F10" s="14" t="str">
        <x:v>SC</x:v>
      </x:c>
      <x:c r="G10" s="14" t="str">
        <x:v>Educação</x:v>
      </x:c>
      <x:c r="H10" s="16" t="n">
        <x:v>45752</x:v>
      </x:c>
    </x:row>
    <x:row r="11" ht="20" customHeight="1">
      <x:c r="A11" s="13" t="str">
        <x:v>CLI0010</x:v>
      </x:c>
      <x:c r="B11" s="14" t="str">
        <x:v>Samuel Almeida Henrique</x:v>
      </x:c>
      <x:c r="C11" s="14" t="str">
        <x:v>samuel.almeida.henrique.010@exemplo.invalid</x:v>
      </x:c>
      <x:c r="D11" s="14" t="str">
        <x:v>(00) 90000-0010</x:v>
      </x:c>
      <x:c r="E11" s="14" t="str">
        <x:v>Londrina</x:v>
      </x:c>
      <x:c r="F11" s="14" t="str">
        <x:v>PR</x:v>
      </x:c>
      <x:c r="G11" s="14" t="str">
        <x:v>Serviços</x:v>
      </x:c>
      <x:c r="H11" s="16" t="n">
        <x:v>45909</x:v>
      </x:c>
    </x:row>
    <x:row r="12" ht="20" customHeight="1">
      <x:c r="A12" s="13" t="str">
        <x:v>CLI0011</x:v>
      </x:c>
      <x:c r="B12" s="14" t="str">
        <x:v>Daniel Costa Junqueira</x:v>
      </x:c>
      <x:c r="C12" s="14" t="str">
        <x:v>daniel.costa.junqueira.011@exemplo.invalid</x:v>
      </x:c>
      <x:c r="D12" s="14" t="str">
        <x:v>(00) 90000-0011</x:v>
      </x:c>
      <x:c r="E12" s="14" t="str">
        <x:v>Fortaleza</x:v>
      </x:c>
      <x:c r="F12" s="14" t="str">
        <x:v>CE</x:v>
      </x:c>
      <x:c r="G12" s="14" t="str">
        <x:v>Tecnologia</x:v>
      </x:c>
      <x:c r="H12" s="16" t="n">
        <x:v>45057</x:v>
      </x:c>
    </x:row>
    <x:row r="13" ht="20" customHeight="1">
      <x:c r="A13" s="13" t="str">
        <x:v>CLI0012</x:v>
      </x:c>
      <x:c r="B13" s="14" t="str">
        <x:v>Pedro Ramos Junqueira</x:v>
      </x:c>
      <x:c r="C13" s="14" t="str">
        <x:v>pedro.ramos.junqueira.012@exemplo.invalid</x:v>
      </x:c>
      <x:c r="D13" s="14" t="str">
        <x:v>(00) 90000-0012</x:v>
      </x:c>
      <x:c r="E13" s="14" t="str">
        <x:v>Joinville</x:v>
      </x:c>
      <x:c r="F13" s="14" t="str">
        <x:v>SC</x:v>
      </x:c>
      <x:c r="G13" s="14" t="str">
        <x:v>Construção</x:v>
      </x:c>
      <x:c r="H13" s="16" t="n">
        <x:v>45673</x:v>
      </x:c>
    </x:row>
    <x:row r="14" ht="20" customHeight="1">
      <x:c r="A14" s="13" t="str">
        <x:v>CLI0013</x:v>
      </x:c>
      <x:c r="B14" s="14" t="str">
        <x:v>Felipe Lopes Silva</x:v>
      </x:c>
      <x:c r="C14" s="14" t="str">
        <x:v>felipe.lopes.silva.013@exemplo.invalid</x:v>
      </x:c>
      <x:c r="D14" s="14" t="str">
        <x:v>(00) 90000-0013</x:v>
      </x:c>
      <x:c r="E14" s="14" t="str">
        <x:v>Blumenau</x:v>
      </x:c>
      <x:c r="F14" s="14" t="str">
        <x:v>SC</x:v>
      </x:c>
      <x:c r="G14" s="14" t="str">
        <x:v>Educação</x:v>
      </x:c>
      <x:c r="H14" s="16" t="n">
        <x:v>44097</x:v>
      </x:c>
    </x:row>
    <x:row r="15" ht="20" customHeight="1">
      <x:c r="A15" s="13" t="str">
        <x:v>CLI0014</x:v>
      </x:c>
      <x:c r="B15" s="14" t="str">
        <x:v>Enzo Andrade Duarte</x:v>
      </x:c>
      <x:c r="C15" s="14" t="str">
        <x:v>enzo.andrade.duarte.014@exemplo.invalid</x:v>
      </x:c>
      <x:c r="D15" s="14" t="str">
        <x:v>(00) 90000-0014</x:v>
      </x:c>
      <x:c r="E15" s="14" t="str">
        <x:v>Londrina</x:v>
      </x:c>
      <x:c r="F15" s="14" t="str">
        <x:v>PR</x:v>
      </x:c>
      <x:c r="G15" s="14" t="str">
        <x:v>Serviços</x:v>
      </x:c>
      <x:c r="H15" s="16" t="n">
        <x:v>43572</x:v>
      </x:c>
    </x:row>
    <x:row r="16" ht="20" customHeight="1">
      <x:c r="A16" s="13" t="str">
        <x:v>CLI0015</x:v>
      </x:c>
      <x:c r="B16" s="14" t="str">
        <x:v>Samuel Esteves Ferreira</x:v>
      </x:c>
      <x:c r="C16" s="14" t="str">
        <x:v>samuel.esteves.ferreira.015@exemplo.invalid</x:v>
      </x:c>
      <x:c r="D16" s="14" t="str">
        <x:v>(00) 90000-0015</x:v>
      </x:c>
      <x:c r="E16" s="14" t="str">
        <x:v>Fortaleza</x:v>
      </x:c>
      <x:c r="F16" s="14" t="str">
        <x:v>CE</x:v>
      </x:c>
      <x:c r="G16" s="14" t="str">
        <x:v>Tecnologia</x:v>
      </x:c>
      <x:c r="H16" s="16" t="n">
        <x:v>43529</x:v>
      </x:c>
    </x:row>
    <x:row r="17" ht="20" customHeight="1">
      <x:c r="A17" s="13" t="str">
        <x:v>CLI0016</x:v>
      </x:c>
      <x:c r="B17" s="14" t="str">
        <x:v>Lucas Costa Junqueira</x:v>
      </x:c>
      <x:c r="C17" s="14" t="str">
        <x:v>lucas.costa.junqueira.016@exemplo.invalid</x:v>
      </x:c>
      <x:c r="D17" s="14" t="str">
        <x:v>(00) 90000-0016</x:v>
      </x:c>
      <x:c r="E17" s="14" t="str">
        <x:v>Belo Horizonte</x:v>
      </x:c>
      <x:c r="F17" s="14" t="str">
        <x:v>MG</x:v>
      </x:c>
      <x:c r="G17" s="14" t="str">
        <x:v>Construção</x:v>
      </x:c>
      <x:c r="H17" s="16" t="n">
        <x:v>45909</x:v>
      </x:c>
    </x:row>
    <x:row r="18" ht="20" customHeight="1">
      <x:c r="A18" s="13" t="str">
        <x:v>CLI0017</x:v>
      </x:c>
      <x:c r="B18" s="14" t="str">
        <x:v>Caio Almeida Silva</x:v>
      </x:c>
      <x:c r="C18" s="14" t="str">
        <x:v>caio.almeida.silva.017@exemplo.invalid</x:v>
      </x:c>
      <x:c r="D18" s="14" t="str">
        <x:v>(00) 90000-0017</x:v>
      </x:c>
      <x:c r="E18" s="14" t="str">
        <x:v>Goiânia</x:v>
      </x:c>
      <x:c r="F18" s="14" t="str">
        <x:v>GO</x:v>
      </x:c>
      <x:c r="G18" s="14" t="str">
        <x:v>Educação</x:v>
      </x:c>
      <x:c r="H18" s="16" t="n">
        <x:v>44150</x:v>
      </x:c>
    </x:row>
    <x:row r="19" ht="20" customHeight="1">
      <x:c r="A19" s="13" t="str">
        <x:v>CLI0018</x:v>
      </x:c>
      <x:c r="B19" s="14" t="str">
        <x:v>Bruno Cardoso Dias</x:v>
      </x:c>
      <x:c r="C19" s="14" t="str">
        <x:v>bruno.cardoso.dias.018@exemplo.invalid</x:v>
      </x:c>
      <x:c r="D19" s="14" t="str">
        <x:v>(00) 90000-0018</x:v>
      </x:c>
      <x:c r="E19" s="14" t="str">
        <x:v>Salvador</x:v>
      </x:c>
      <x:c r="F19" s="14" t="str">
        <x:v>BA</x:v>
      </x:c>
      <x:c r="G19" s="14" t="str">
        <x:v>Serviços</x:v>
      </x:c>
      <x:c r="H19" s="16" t="n">
        <x:v>44607</x:v>
      </x:c>
    </x:row>
    <x:row r="20" ht="20" customHeight="1">
      <x:c r="A20" s="13" t="str">
        <x:v>CLI0019</x:v>
      </x:c>
      <x:c r="B20" s="14" t="str">
        <x:v>Gustavo Nascimento Silva</x:v>
      </x:c>
      <x:c r="C20" s="14" t="str">
        <x:v>gustavo.nascimento.silva.019@exemplo.invalid</x:v>
      </x:c>
      <x:c r="D20" s="14" t="str">
        <x:v>(00) 90000-0019</x:v>
      </x:c>
      <x:c r="E20" s="14" t="str">
        <x:v>Fortaleza</x:v>
      </x:c>
      <x:c r="F20" s="14" t="str">
        <x:v>CE</x:v>
      </x:c>
      <x:c r="G20" s="14" t="str">
        <x:v>Tecnologia</x:v>
      </x:c>
      <x:c r="H20" s="16" t="n">
        <x:v>46004</x:v>
      </x:c>
    </x:row>
    <x:row r="21" ht="20" customHeight="1">
      <x:c r="A21" s="13" t="str">
        <x:v>CLI0020</x:v>
      </x:c>
      <x:c r="B21" s="14" t="str">
        <x:v>João Esteves Garcia</x:v>
      </x:c>
      <x:c r="C21" s="14" t="str">
        <x:v>joao.esteves.garcia.020@exemplo.invalid</x:v>
      </x:c>
      <x:c r="D21" s="14" t="str">
        <x:v>(00) 90000-0020</x:v>
      </x:c>
      <x:c r="E21" s="14" t="str">
        <x:v>Belo Horizonte</x:v>
      </x:c>
      <x:c r="F21" s="14" t="str">
        <x:v>MG</x:v>
      </x:c>
      <x:c r="G21" s="14" t="str">
        <x:v>Construção</x:v>
      </x:c>
      <x:c r="H21" s="16" t="n">
        <x:v>43539</x:v>
      </x:c>
    </x:row>
    <x:row r="22" ht="20" customHeight="1">
      <x:c r="A22" s="13" t="str">
        <x:v>CLI0021</x:v>
      </x:c>
      <x:c r="B22" s="14" t="str">
        <x:v>Enzo Gomes Vargas</x:v>
      </x:c>
      <x:c r="C22" s="14" t="str">
        <x:v>enzo.gomes.vargas.021@exemplo.invalid</x:v>
      </x:c>
      <x:c r="D22" s="14" t="str">
        <x:v>(00) 90000-0021</x:v>
      </x:c>
      <x:c r="E22" s="14" t="str">
        <x:v>Goiânia</x:v>
      </x:c>
      <x:c r="F22" s="14" t="str">
        <x:v>GO</x:v>
      </x:c>
      <x:c r="G22" s="14" t="str">
        <x:v>Educação</x:v>
      </x:c>
      <x:c r="H22" s="16" t="n">
        <x:v>45635</x:v>
      </x:c>
    </x:row>
    <x:row r="23" ht="20" customHeight="1">
      <x:c r="A23" s="13" t="str">
        <x:v>CLI0022</x:v>
      </x:c>
      <x:c r="B23" s="14" t="str">
        <x:v>Bruno Teixeira Souza</x:v>
      </x:c>
      <x:c r="C23" s="14" t="str">
        <x:v>bruno.teixeira.souza.022@exemplo.invalid</x:v>
      </x:c>
      <x:c r="D23" s="14" t="str">
        <x:v>(00) 90000-0022</x:v>
      </x:c>
      <x:c r="E23" s="14" t="str">
        <x:v>Joinville</x:v>
      </x:c>
      <x:c r="F23" s="14" t="str">
        <x:v>SC</x:v>
      </x:c>
      <x:c r="G23" s="14" t="str">
        <x:v>Serviços</x:v>
      </x:c>
      <x:c r="H23" s="16" t="n">
        <x:v>45134</x:v>
      </x:c>
    </x:row>
    <x:row r="24" ht="20" customHeight="1">
      <x:c r="A24" s="13" t="str">
        <x:v>CLI0023</x:v>
      </x:c>
      <x:c r="B24" s="14" t="str">
        <x:v>Bruno Lima Henrique</x:v>
      </x:c>
      <x:c r="C24" s="14" t="str">
        <x:v>bruno.lima.henrique.023@exemplo.invalid</x:v>
      </x:c>
      <x:c r="D24" s="14" t="str">
        <x:v>(00) 90000-0023</x:v>
      </x:c>
      <x:c r="E24" s="14" t="str">
        <x:v>Caxias do Sul</x:v>
      </x:c>
      <x:c r="F24" s="14" t="str">
        <x:v>RS</x:v>
      </x:c>
      <x:c r="G24" s="14" t="str">
        <x:v>Tecnologia</x:v>
      </x:c>
      <x:c r="H24" s="16" t="n">
        <x:v>45363</x:v>
      </x:c>
    </x:row>
    <x:row r="25" ht="20" customHeight="1">
      <x:c r="A25" s="13" t="str">
        <x:v>CLI0024</x:v>
      </x:c>
      <x:c r="B25" s="14" t="str">
        <x:v>João Cardoso Duarte</x:v>
      </x:c>
      <x:c r="C25" s="14" t="str">
        <x:v>joao.cardoso.duarte.024@exemplo.invalid</x:v>
      </x:c>
      <x:c r="D25" s="14" t="str">
        <x:v>(00) 90000-0024</x:v>
      </x:c>
      <x:c r="E25" s="14" t="str">
        <x:v>Campinas</x:v>
      </x:c>
      <x:c r="F25" s="14" t="str">
        <x:v>SP</x:v>
      </x:c>
      <x:c r="G25" s="14" t="str">
        <x:v>Construção</x:v>
      </x:c>
      <x:c r="H25" s="16" t="n">
        <x:v>44672</x:v>
      </x:c>
    </x:row>
    <x:row r="26" ht="20" customHeight="1">
      <x:c r="A26" s="13" t="str">
        <x:v>CLI0025</x:v>
      </x:c>
      <x:c r="B26" s="14" t="str">
        <x:v>Enzo Almeida Ferreira</x:v>
      </x:c>
      <x:c r="C26" s="14" t="str">
        <x:v>enzo.almeida.ferreira.025@exemplo.invalid</x:v>
      </x:c>
      <x:c r="D26" s="14" t="str">
        <x:v>(00) 90000-0025</x:v>
      </x:c>
      <x:c r="E26" s="14" t="str">
        <x:v>Rio de Janeiro</x:v>
      </x:c>
      <x:c r="F26" s="14" t="str">
        <x:v>RJ</x:v>
      </x:c>
      <x:c r="G26" s="14" t="str">
        <x:v>Educação</x:v>
      </x:c>
      <x:c r="H26" s="16" t="n">
        <x:v>45649</x:v>
      </x:c>
    </x:row>
    <x:row r="27" ht="20" customHeight="1">
      <x:c r="A27" s="13" t="str">
        <x:v>CLI0026</x:v>
      </x:c>
      <x:c r="B27" s="14" t="str">
        <x:v>Henrique Lopes Henrique</x:v>
      </x:c>
      <x:c r="C27" s="14" t="str">
        <x:v>henrique.lopes.henrique.026@exemplo.invalid</x:v>
      </x:c>
      <x:c r="D27" s="14" t="str">
        <x:v>(00) 90000-0026</x:v>
      </x:c>
      <x:c r="E27" s="14" t="str">
        <x:v>Campinas</x:v>
      </x:c>
      <x:c r="F27" s="14" t="str">
        <x:v>SP</x:v>
      </x:c>
      <x:c r="G27" s="14" t="str">
        <x:v>Serviços</x:v>
      </x:c>
      <x:c r="H27" s="16" t="n">
        <x:v>45085</x:v>
      </x:c>
    </x:row>
    <x:row r="28" ht="20" customHeight="1">
      <x:c r="A28" s="13" t="str">
        <x:v>CLI0027</x:v>
      </x:c>
      <x:c r="B28" s="14" t="str">
        <x:v>Enzo Almeida Machado</x:v>
      </x:c>
      <x:c r="C28" s="14" t="str">
        <x:v>enzo.almeida.machado.027@exemplo.invalid</x:v>
      </x:c>
      <x:c r="D28" s="14" t="str">
        <x:v>(00) 90000-0027</x:v>
      </x:c>
      <x:c r="E28" s="14" t="str">
        <x:v>Rio de Janeiro</x:v>
      </x:c>
      <x:c r="F28" s="14" t="str">
        <x:v>RJ</x:v>
      </x:c>
      <x:c r="G28" s="14" t="str">
        <x:v>Tecnologia</x:v>
      </x:c>
      <x:c r="H28" s="16" t="n">
        <x:v>44671</x:v>
      </x:c>
    </x:row>
    <x:row r="29" ht="20" customHeight="1">
      <x:c r="A29" s="13" t="str">
        <x:v>CLI0028</x:v>
      </x:c>
      <x:c r="B29" s="14" t="str">
        <x:v>Leonardo Nascimento Junqueira</x:v>
      </x:c>
      <x:c r="C29" s="14" t="str">
        <x:v>leonardo.nascimento.junqueira.028@exemplo.invalid</x:v>
      </x:c>
      <x:c r="D29" s="14" t="str">
        <x:v>(00) 90000-0028</x:v>
      </x:c>
      <x:c r="E29" s="14" t="str">
        <x:v>Joinville</x:v>
      </x:c>
      <x:c r="F29" s="14" t="str">
        <x:v>SC</x:v>
      </x:c>
      <x:c r="G29" s="14" t="str">
        <x:v>Construção</x:v>
      </x:c>
      <x:c r="H29" s="16" t="n">
        <x:v>45391</x:v>
      </x:c>
    </x:row>
    <x:row r="30" ht="20" customHeight="1">
      <x:c r="A30" s="13" t="str">
        <x:v>CLI0029</x:v>
      </x:c>
      <x:c r="B30" s="14" t="str">
        <x:v>Igor Gomes Dias</x:v>
      </x:c>
      <x:c r="C30" s="14" t="str">
        <x:v>igor.gomes.dias.029@exemplo.invalid</x:v>
      </x:c>
      <x:c r="D30" s="14" t="str">
        <x:v>(00) 90000-0029</x:v>
      </x:c>
      <x:c r="E30" s="14" t="str">
        <x:v>Blumenau</x:v>
      </x:c>
      <x:c r="F30" s="14" t="str">
        <x:v>SC</x:v>
      </x:c>
      <x:c r="G30" s="14" t="str">
        <x:v>Educação</x:v>
      </x:c>
      <x:c r="H30" s="16" t="n">
        <x:v>44865</x:v>
      </x:c>
    </x:row>
    <x:row r="31" ht="20" customHeight="1">
      <x:c r="A31" s="13" t="str">
        <x:v>CLI0030</x:v>
      </x:c>
      <x:c r="B31" s="14" t="str">
        <x:v>Henrique Gomes Batista</x:v>
      </x:c>
      <x:c r="C31" s="14" t="str">
        <x:v>henrique.gomes.batista.030@exemplo.invalid</x:v>
      </x:c>
      <x:c r="D31" s="14" t="str">
        <x:v>(00) 90000-0030</x:v>
      </x:c>
      <x:c r="E31" s="14" t="str">
        <x:v>Campinas</x:v>
      </x:c>
      <x:c r="F31" s="14" t="str">
        <x:v>SP</x:v>
      </x:c>
      <x:c r="G31" s="14" t="str">
        <x:v>Serviços</x:v>
      </x:c>
      <x:c r="H31" s="16" t="n">
        <x:v>44062</x:v>
      </x:c>
    </x:row>
    <x:row r="32" ht="20" customHeight="1">
      <x:c r="A32" s="13" t="str">
        <x:v>CLI0031</x:v>
      </x:c>
      <x:c r="B32" s="14" t="str">
        <x:v>Vinícius Andrade Queiroz</x:v>
      </x:c>
      <x:c r="C32" s="14" t="str">
        <x:v>vinicius.andrade.queiroz.031@exemplo.invalid</x:v>
      </x:c>
      <x:c r="D32" s="14" t="str">
        <x:v>(00) 90000-0031</x:v>
      </x:c>
      <x:c r="E32" s="14" t="str">
        <x:v>Caxias do Sul</x:v>
      </x:c>
      <x:c r="F32" s="14" t="str">
        <x:v>RS</x:v>
      </x:c>
      <x:c r="G32" s="14" t="str">
        <x:v>Tecnologia</x:v>
      </x:c>
      <x:c r="H32" s="16" t="n">
        <x:v>44000</x:v>
      </x:c>
    </x:row>
    <x:row r="33" ht="20" customHeight="1">
      <x:c r="A33" s="13" t="str">
        <x:v>CLI0032</x:v>
      </x:c>
      <x:c r="B33" s="14" t="str">
        <x:v>Leonardo Lima Oliveira</x:v>
      </x:c>
      <x:c r="C33" s="14" t="str">
        <x:v>leonardo.lima.oliveira.032@exemplo.invalid</x:v>
      </x:c>
      <x:c r="D33" s="14" t="str">
        <x:v>(00) 90000-0032</x:v>
      </x:c>
      <x:c r="E33" s="14" t="str">
        <x:v>Londrina</x:v>
      </x:c>
      <x:c r="F33" s="14" t="str">
        <x:v>PR</x:v>
      </x:c>
      <x:c r="G33" s="14" t="str">
        <x:v>Construção</x:v>
      </x:c>
      <x:c r="H33" s="16" t="n">
        <x:v>45486</x:v>
      </x:c>
    </x:row>
    <x:row r="34" ht="20" customHeight="1">
      <x:c r="A34" s="13" t="str">
        <x:v>CLI0033</x:v>
      </x:c>
      <x:c r="B34" s="14" t="str">
        <x:v>Bruno Lima Duarte</x:v>
      </x:c>
      <x:c r="C34" s="14" t="str">
        <x:v>bruno.lima.duarte.033@exemplo.invalid</x:v>
      </x:c>
      <x:c r="D34" s="14" t="str">
        <x:v>(00) 90000-0033</x:v>
      </x:c>
      <x:c r="E34" s="14" t="str">
        <x:v>Goiânia</x:v>
      </x:c>
      <x:c r="F34" s="14" t="str">
        <x:v>GO</x:v>
      </x:c>
      <x:c r="G34" s="14" t="str">
        <x:v>Educação</x:v>
      </x:c>
      <x:c r="H34" s="16" t="n">
        <x:v>43799</x:v>
      </x:c>
    </x:row>
    <x:row r="35" ht="20" customHeight="1">
      <x:c r="A35" s="13" t="str">
        <x:v>CLI0034</x:v>
      </x:c>
      <x:c r="B35" s="14" t="str">
        <x:v>Igor Nascimento Garcia</x:v>
      </x:c>
      <x:c r="C35" s="14" t="str">
        <x:v>igor.nascimento.garcia.034@exemplo.invalid</x:v>
      </x:c>
      <x:c r="D35" s="14" t="str">
        <x:v>(00) 90000-0034</x:v>
      </x:c>
      <x:c r="E35" s="14" t="str">
        <x:v>Londrina</x:v>
      </x:c>
      <x:c r="F35" s="14" t="str">
        <x:v>PR</x:v>
      </x:c>
      <x:c r="G35" s="14" t="str">
        <x:v>Serviços</x:v>
      </x:c>
      <x:c r="H35" s="16" t="n">
        <x:v>45039</x:v>
      </x:c>
    </x:row>
    <x:row r="36" ht="20" customHeight="1">
      <x:c r="A36" s="13" t="str">
        <x:v>CLI0035</x:v>
      </x:c>
      <x:c r="B36" s="14" t="str">
        <x:v>João Nascimento Vargas</x:v>
      </x:c>
      <x:c r="C36" s="14" t="str">
        <x:v>joao.nascimento.vargas.035@exemplo.invalid</x:v>
      </x:c>
      <x:c r="D36" s="14" t="str">
        <x:v>(00) 90000-0035</x:v>
      </x:c>
      <x:c r="E36" s="14" t="str">
        <x:v>Rio de Janeiro</x:v>
      </x:c>
      <x:c r="F36" s="14" t="str">
        <x:v>RJ</x:v>
      </x:c>
      <x:c r="G36" s="14" t="str">
        <x:v>Tecnologia</x:v>
      </x:c>
      <x:c r="H36" s="16" t="n">
        <x:v>43600</x:v>
      </x:c>
    </x:row>
    <x:row r="37" ht="20" customHeight="1">
      <x:c r="A37" s="13" t="str">
        <x:v>CLI0036</x:v>
      </x:c>
      <x:c r="B37" s="14" t="str">
        <x:v>Enzo Teixeira Machado</x:v>
      </x:c>
      <x:c r="C37" s="14" t="str">
        <x:v>enzo.teixeira.machado.036@exemplo.invalid</x:v>
      </x:c>
      <x:c r="D37" s="14" t="str">
        <x:v>(00) 90000-0036</x:v>
      </x:c>
      <x:c r="E37" s="14" t="str">
        <x:v>Campinas</x:v>
      </x:c>
      <x:c r="F37" s="14" t="str">
        <x:v>SP</x:v>
      </x:c>
      <x:c r="G37" s="14" t="str">
        <x:v>Construção</x:v>
      </x:c>
      <x:c r="H37" s="16" t="n">
        <x:v>44597</x:v>
      </x:c>
    </x:row>
    <x:row r="38" ht="20" customHeight="1">
      <x:c r="A38" s="13" t="str">
        <x:v>CLI0037</x:v>
      </x:c>
      <x:c r="B38" s="14" t="str">
        <x:v>Caio Ramos Junqueira</x:v>
      </x:c>
      <x:c r="C38" s="14" t="str">
        <x:v>caio.ramos.junqueira.037@exemplo.invalid</x:v>
      </x:c>
      <x:c r="D38" s="14" t="str">
        <x:v>(00) 90000-0037</x:v>
      </x:c>
      <x:c r="E38" s="14" t="str">
        <x:v>Blumenau</x:v>
      </x:c>
      <x:c r="F38" s="14" t="str">
        <x:v>SC</x:v>
      </x:c>
      <x:c r="G38" s="14" t="str">
        <x:v>Educação</x:v>
      </x:c>
      <x:c r="H38" s="16" t="n">
        <x:v>44551</x:v>
      </x:c>
    </x:row>
    <x:row r="39" ht="20" customHeight="1">
      <x:c r="A39" s="13" t="str">
        <x:v>CLI0038</x:v>
      </x:c>
      <x:c r="B39" s="14" t="str">
        <x:v>Pedro Ramos Junqueira</x:v>
      </x:c>
      <x:c r="C39" s="14" t="str">
        <x:v>pedro.ramos.junqueira.038@exemplo.invalid</x:v>
      </x:c>
      <x:c r="D39" s="14" t="str">
        <x:v>(00) 90000-0038</x:v>
      </x:c>
      <x:c r="E39" s="14" t="str">
        <x:v>Joinville</x:v>
      </x:c>
      <x:c r="F39" s="14" t="str">
        <x:v>SC</x:v>
      </x:c>
      <x:c r="G39" s="14" t="str">
        <x:v>Serviços</x:v>
      </x:c>
      <x:c r="H39" s="16" t="n">
        <x:v>45622</x:v>
      </x:c>
    </x:row>
    <x:row r="40" ht="20" customHeight="1">
      <x:c r="A40" s="13" t="str">
        <x:v>CLI0039</x:v>
      </x:c>
      <x:c r="B40" s="14" t="str">
        <x:v>Enzo Esteves Ferreira</x:v>
      </x:c>
      <x:c r="C40" s="14" t="str">
        <x:v>enzo.esteves.ferreira.039@exemplo.invalid</x:v>
      </x:c>
      <x:c r="D40" s="14" t="str">
        <x:v>(00) 90000-0039</x:v>
      </x:c>
      <x:c r="E40" s="14" t="str">
        <x:v>Rio de Janeiro</x:v>
      </x:c>
      <x:c r="F40" s="14" t="str">
        <x:v>RJ</x:v>
      </x:c>
      <x:c r="G40" s="14" t="str">
        <x:v>Tecnologia</x:v>
      </x:c>
      <x:c r="H40" s="16" t="n">
        <x:v>44261</x:v>
      </x:c>
    </x:row>
    <x:row r="41" ht="20" customHeight="1">
      <x:c r="A41" s="13" t="str">
        <x:v>CLI0040</x:v>
      </x:c>
      <x:c r="B41" s="14" t="str">
        <x:v>Vinícius Andrade Vargas</x:v>
      </x:c>
      <x:c r="C41" s="14" t="str">
        <x:v>vinicius.andrade.vargas.040@exemplo.invalid</x:v>
      </x:c>
      <x:c r="D41" s="14" t="str">
        <x:v>(00) 90000-0040</x:v>
      </x:c>
      <x:c r="E41" s="14" t="str">
        <x:v>Londrina</x:v>
      </x:c>
      <x:c r="F41" s="14" t="str">
        <x:v>PR</x:v>
      </x:c>
      <x:c r="G41" s="14" t="str">
        <x:v>Construção</x:v>
      </x:c>
      <x:c r="H41" s="16" t="n">
        <x:v>43984</x:v>
      </x:c>
    </x:row>
    <x:row r="42" ht="20" customHeight="1">
      <x:c r="A42" s="13" t="str">
        <x:v>CLI0041</x:v>
      </x:c>
      <x:c r="B42" s="14" t="str">
        <x:v>Henrique Ramos Ferreira</x:v>
      </x:c>
      <x:c r="C42" s="14" t="str">
        <x:v>henrique.ramos.ferreira.041@exemplo.invalid</x:v>
      </x:c>
      <x:c r="D42" s="14" t="str">
        <x:v>(00) 90000-0041</x:v>
      </x:c>
      <x:c r="E42" s="14" t="str">
        <x:v>Goiânia</x:v>
      </x:c>
      <x:c r="F42" s="14" t="str">
        <x:v>GO</x:v>
      </x:c>
      <x:c r="G42" s="14" t="str">
        <x:v>Educação</x:v>
      </x:c>
      <x:c r="H42" s="16" t="n">
        <x:v>45099</x:v>
      </x:c>
    </x:row>
    <x:row r="43" ht="20" customHeight="1">
      <x:c r="A43" s="13" t="str">
        <x:v>CLI0042</x:v>
      </x:c>
      <x:c r="B43" s="14" t="str">
        <x:v>João Rocha Batista</x:v>
      </x:c>
      <x:c r="C43" s="14" t="str">
        <x:v>joao.rocha.batista.042@exemplo.invalid</x:v>
      </x:c>
      <x:c r="D43" s="14" t="str">
        <x:v>(00) 90000-0042</x:v>
      </x:c>
      <x:c r="E43" s="14" t="str">
        <x:v>Londrina</x:v>
      </x:c>
      <x:c r="F43" s="14" t="str">
        <x:v>PR</x:v>
      </x:c>
      <x:c r="G43" s="14" t="str">
        <x:v>Serviços</x:v>
      </x:c>
      <x:c r="H43" s="16" t="n">
        <x:v>44926</x:v>
      </x:c>
    </x:row>
    <x:row r="44" ht="20" customHeight="1">
      <x:c r="A44" s="13" t="str">
        <x:v>CLI0043</x:v>
      </x:c>
      <x:c r="B44" s="14" t="str">
        <x:v>Bruno Pereira Queiroz</x:v>
      </x:c>
      <x:c r="C44" s="14" t="str">
        <x:v>bruno.pereira.queiroz.043@exemplo.invalid</x:v>
      </x:c>
      <x:c r="D44" s="14" t="str">
        <x:v>(00) 90000-0043</x:v>
      </x:c>
      <x:c r="E44" s="14" t="str">
        <x:v>Caxias do Sul</x:v>
      </x:c>
      <x:c r="F44" s="14" t="str">
        <x:v>RS</x:v>
      </x:c>
      <x:c r="G44" s="14" t="str">
        <x:v>Tecnologia</x:v>
      </x:c>
      <x:c r="H44" s="16" t="n">
        <x:v>45716</x:v>
      </x:c>
    </x:row>
    <x:row r="45" ht="20" customHeight="1">
      <x:c r="A45" s="13" t="str">
        <x:v>CLI0044</x:v>
      </x:c>
      <x:c r="B45" s="14" t="str">
        <x:v>Igor Rocha Garcia</x:v>
      </x:c>
      <x:c r="C45" s="14" t="str">
        <x:v>igor.rocha.garcia.044@exemplo.invalid</x:v>
      </x:c>
      <x:c r="D45" s="14" t="str">
        <x:v>(00) 90000-0044</x:v>
      </x:c>
      <x:c r="E45" s="14" t="str">
        <x:v>Joinville</x:v>
      </x:c>
      <x:c r="F45" s="14" t="str">
        <x:v>SC</x:v>
      </x:c>
      <x:c r="G45" s="14" t="str">
        <x:v>Construção</x:v>
      </x:c>
      <x:c r="H45" s="16" t="n">
        <x:v>45777</x:v>
      </x:c>
    </x:row>
    <x:row r="46" ht="20" customHeight="1">
      <x:c r="A46" s="13" t="str">
        <x:v>CLI0045</x:v>
      </x:c>
      <x:c r="B46" s="14" t="str">
        <x:v>Caio Almeida Barbosa</x:v>
      </x:c>
      <x:c r="C46" s="14" t="str">
        <x:v>caio.almeida.barbosa.045@exemplo.invalid</x:v>
      </x:c>
      <x:c r="D46" s="14" t="str">
        <x:v>(00) 90000-0045</x:v>
      </x:c>
      <x:c r="E46" s="14" t="str">
        <x:v>Blumenau</x:v>
      </x:c>
      <x:c r="F46" s="14" t="str">
        <x:v>SC</x:v>
      </x:c>
      <x:c r="G46" s="14" t="str">
        <x:v>Educação</x:v>
      </x:c>
      <x:c r="H46" s="16" t="n">
        <x:v>44249</x:v>
      </x:c>
    </x:row>
    <x:row r="47" ht="20" customHeight="1">
      <x:c r="A47" s="13" t="str">
        <x:v>CLI0046</x:v>
      </x:c>
      <x:c r="B47" s="14" t="str">
        <x:v>Gustavo Ibrahim Queiroz</x:v>
      </x:c>
      <x:c r="C47" s="14" t="str">
        <x:v>gustavo.ibrahim.queiroz.046@exemplo.invalid</x:v>
      </x:c>
      <x:c r="D47" s="14" t="str">
        <x:v>(00) 90000-0046</x:v>
      </x:c>
      <x:c r="E47" s="14" t="str">
        <x:v>Joinville</x:v>
      </x:c>
      <x:c r="F47" s="14" t="str">
        <x:v>SC</x:v>
      </x:c>
      <x:c r="G47" s="14" t="str">
        <x:v>Serviços</x:v>
      </x:c>
      <x:c r="H47" s="16" t="n">
        <x:v>45613</x:v>
      </x:c>
    </x:row>
    <x:row r="48" ht="20" customHeight="1">
      <x:c r="A48" s="13" t="str">
        <x:v>CLI0047</x:v>
      </x:c>
      <x:c r="B48" s="14" t="str">
        <x:v>Felipe Almeida Henrique</x:v>
      </x:c>
      <x:c r="C48" s="14" t="str">
        <x:v>felipe.almeida.henrique.047@exemplo.invalid</x:v>
      </x:c>
      <x:c r="D48" s="14" t="str">
        <x:v>(00) 90000-0047</x:v>
      </x:c>
      <x:c r="E48" s="14" t="str">
        <x:v>Fortaleza</x:v>
      </x:c>
      <x:c r="F48" s="14" t="str">
        <x:v>CE</x:v>
      </x:c>
      <x:c r="G48" s="14" t="str">
        <x:v>Tecnologia</x:v>
      </x:c>
      <x:c r="H48" s="16" t="n">
        <x:v>45404</x:v>
      </x:c>
    </x:row>
    <x:row r="49" ht="20" customHeight="1">
      <x:c r="A49" s="13" t="str">
        <x:v>CLI0048</x:v>
      </x:c>
      <x:c r="B49" s="14" t="str">
        <x:v>Daniel Nascimento Barbosa</x:v>
      </x:c>
      <x:c r="C49" s="14" t="str">
        <x:v>daniel.nascimento.barbosa.048@exemplo.invalid</x:v>
      </x:c>
      <x:c r="D49" s="14" t="str">
        <x:v>(00) 90000-0048</x:v>
      </x:c>
      <x:c r="E49" s="14" t="str">
        <x:v>Campinas</x:v>
      </x:c>
      <x:c r="F49" s="14" t="str">
        <x:v>SP</x:v>
      </x:c>
      <x:c r="G49" s="14" t="str">
        <x:v>Construção</x:v>
      </x:c>
      <x:c r="H49" s="16" t="n">
        <x:v>45000</x:v>
      </x:c>
    </x:row>
    <x:row r="50" ht="20" customHeight="1">
      <x:c r="A50" s="13" t="str">
        <x:v>CLI0049</x:v>
      </x:c>
      <x:c r="B50" s="14" t="str">
        <x:v>Felipe Cardoso Barbosa</x:v>
      </x:c>
      <x:c r="C50" s="14" t="str">
        <x:v>felipe.cardoso.barbosa.049@exemplo.invalid</x:v>
      </x:c>
      <x:c r="D50" s="14" t="str">
        <x:v>(00) 90000-0049</x:v>
      </x:c>
      <x:c r="E50" s="14" t="str">
        <x:v>Blumenau</x:v>
      </x:c>
      <x:c r="F50" s="14" t="str">
        <x:v>SC</x:v>
      </x:c>
      <x:c r="G50" s="14" t="str">
        <x:v>Educação</x:v>
      </x:c>
      <x:c r="H50" s="16" t="n">
        <x:v>44286</x:v>
      </x:c>
    </x:row>
    <x:row r="51" ht="20" customHeight="1">
      <x:c r="A51" s="13" t="str">
        <x:v>CLI0050</x:v>
      </x:c>
      <x:c r="B51" s="14" t="str">
        <x:v>Pedro Ramos Dias</x:v>
      </x:c>
      <x:c r="C51" s="14" t="str">
        <x:v>pedro.ramos.dias.050@exemplo.invalid</x:v>
      </x:c>
      <x:c r="D51" s="14" t="str">
        <x:v>(00) 90000-0050</x:v>
      </x:c>
      <x:c r="E51" s="14" t="str">
        <x:v>Joinville</x:v>
      </x:c>
      <x:c r="F51" s="14" t="str">
        <x:v>SC</x:v>
      </x:c>
      <x:c r="G51" s="14" t="str">
        <x:v>Serviços</x:v>
      </x:c>
      <x:c r="H51" s="16" t="n">
        <x:v>43624</x:v>
      </x:c>
    </x:row>
    <x:row r="52" ht="20" customHeight="1">
      <x:c r="A52" s="13" t="str">
        <x:v>CLI0051</x:v>
      </x:c>
      <x:c r="B52" s="14" t="str">
        <x:v>Enzo Lopes Batista</x:v>
      </x:c>
      <x:c r="C52" s="14" t="str">
        <x:v>enzo.lopes.batista.051@exemplo.invalid</x:v>
      </x:c>
      <x:c r="D52" s="14" t="str">
        <x:v>(00) 90000-0051</x:v>
      </x:c>
      <x:c r="E52" s="14" t="str">
        <x:v>Rio de Janeiro</x:v>
      </x:c>
      <x:c r="F52" s="14" t="str">
        <x:v>RJ</x:v>
      </x:c>
      <x:c r="G52" s="14" t="str">
        <x:v>Tecnologia</x:v>
      </x:c>
      <x:c r="H52" s="16" t="n">
        <x:v>45026</x:v>
      </x:c>
    </x:row>
    <x:row r="53" ht="20" customHeight="1">
      <x:c r="A53" s="13" t="str">
        <x:v>CLI0052</x:v>
      </x:c>
      <x:c r="B53" s="14" t="str">
        <x:v>Caio Rocha Dias</x:v>
      </x:c>
      <x:c r="C53" s="14" t="str">
        <x:v>caio.rocha.dias.052@exemplo.invalid</x:v>
      </x:c>
      <x:c r="D53" s="14" t="str">
        <x:v>(00) 90000-0052</x:v>
      </x:c>
      <x:c r="E53" s="14" t="str">
        <x:v>Campinas</x:v>
      </x:c>
      <x:c r="F53" s="14" t="str">
        <x:v>SP</x:v>
      </x:c>
      <x:c r="G53" s="14" t="str">
        <x:v>Construção</x:v>
      </x:c>
      <x:c r="H53" s="16" t="n">
        <x:v>45121</x:v>
      </x:c>
    </x:row>
    <x:row r="54" ht="20" customHeight="1">
      <x:c r="A54" s="13" t="str">
        <x:v>CLI0053</x:v>
      </x:c>
      <x:c r="B54" s="14" t="str">
        <x:v>Henrique Rocha Vargas</x:v>
      </x:c>
      <x:c r="C54" s="14" t="str">
        <x:v>henrique.rocha.vargas.053@exemplo.invalid</x:v>
      </x:c>
      <x:c r="D54" s="14" t="str">
        <x:v>(00) 90000-0053</x:v>
      </x:c>
      <x:c r="E54" s="14" t="str">
        <x:v>Goiânia</x:v>
      </x:c>
      <x:c r="F54" s="14" t="str">
        <x:v>GO</x:v>
      </x:c>
      <x:c r="G54" s="14" t="str">
        <x:v>Educação</x:v>
      </x:c>
      <x:c r="H54" s="16" t="n">
        <x:v>43757</x:v>
      </x:c>
    </x:row>
    <x:row r="55" ht="20" customHeight="1">
      <x:c r="A55" s="13" t="str">
        <x:v>CLI0054</x:v>
      </x:c>
      <x:c r="B55" s="14" t="str">
        <x:v>Lucas Farias Ferreira</x:v>
      </x:c>
      <x:c r="C55" s="14" t="str">
        <x:v>lucas.farias.ferreira.054@exemplo.invalid</x:v>
      </x:c>
      <x:c r="D55" s="14" t="str">
        <x:v>(00) 90000-0054</x:v>
      </x:c>
      <x:c r="E55" s="14" t="str">
        <x:v>Joinville</x:v>
      </x:c>
      <x:c r="F55" s="14" t="str">
        <x:v>SC</x:v>
      </x:c>
      <x:c r="G55" s="14" t="str">
        <x:v>Serviços</x:v>
      </x:c>
      <x:c r="H55" s="16" t="n">
        <x:v>43722</x:v>
      </x:c>
    </x:row>
    <x:row r="56" ht="20" customHeight="1">
      <x:c r="A56" s="13" t="str">
        <x:v>CLI0055</x:v>
      </x:c>
      <x:c r="B56" s="14" t="str">
        <x:v>Samuel Cardoso Souza</x:v>
      </x:c>
      <x:c r="C56" s="14" t="str">
        <x:v>samuel.cardoso.souza.055@exemplo.invalid</x:v>
      </x:c>
      <x:c r="D56" s="14" t="str">
        <x:v>(00) 90000-0055</x:v>
      </x:c>
      <x:c r="E56" s="14" t="str">
        <x:v>Blumenau</x:v>
      </x:c>
      <x:c r="F56" s="14" t="str">
        <x:v>SC</x:v>
      </x:c>
      <x:c r="G56" s="14" t="str">
        <x:v>Tecnologia</x:v>
      </x:c>
      <x:c r="H56" s="16" t="n">
        <x:v>44744</x:v>
      </x:c>
    </x:row>
    <x:row r="57" ht="20" customHeight="1">
      <x:c r="A57" s="13" t="str">
        <x:v>CLI0056</x:v>
      </x:c>
      <x:c r="B57" s="14" t="str">
        <x:v>Gustavo Andrade Souza</x:v>
      </x:c>
      <x:c r="C57" s="14" t="str">
        <x:v>gustavo.andrade.souza.056@exemplo.invalid</x:v>
      </x:c>
      <x:c r="D57" s="14" t="str">
        <x:v>(00) 90000-0056</x:v>
      </x:c>
      <x:c r="E57" s="14" t="str">
        <x:v>Londrina</x:v>
      </x:c>
      <x:c r="F57" s="14" t="str">
        <x:v>PR</x:v>
      </x:c>
      <x:c r="G57" s="14" t="str">
        <x:v>Construção</x:v>
      </x:c>
      <x:c r="H57" s="16" t="n">
        <x:v>45410</x:v>
      </x:c>
    </x:row>
    <x:row r="58" ht="20" customHeight="1">
      <x:c r="A58" s="13" t="str">
        <x:v>CLI0057</x:v>
      </x:c>
      <x:c r="B58" s="14" t="str">
        <x:v>Caio Andrade Garcia</x:v>
      </x:c>
      <x:c r="C58" s="14" t="str">
        <x:v>caio.andrade.garcia.057@exemplo.invalid</x:v>
      </x:c>
      <x:c r="D58" s="14" t="str">
        <x:v>(00) 90000-0057</x:v>
      </x:c>
      <x:c r="E58" s="14" t="str">
        <x:v>Blumenau</x:v>
      </x:c>
      <x:c r="F58" s="14" t="str">
        <x:v>SC</x:v>
      </x:c>
      <x:c r="G58" s="14" t="str">
        <x:v>Educação</x:v>
      </x:c>
      <x:c r="H58" s="16" t="n">
        <x:v>45854</x:v>
      </x:c>
    </x:row>
    <x:row r="59" ht="20" customHeight="1">
      <x:c r="A59" s="13" t="str">
        <x:v>CLI0058</x:v>
      </x:c>
      <x:c r="B59" s="14" t="str">
        <x:v>Igor Pereira Duarte</x:v>
      </x:c>
      <x:c r="C59" s="14" t="str">
        <x:v>igor.pereira.duarte.058@exemplo.invalid</x:v>
      </x:c>
      <x:c r="D59" s="14" t="str">
        <x:v>(00) 90000-0058</x:v>
      </x:c>
      <x:c r="E59" s="14" t="str">
        <x:v>Belo Horizonte</x:v>
      </x:c>
      <x:c r="F59" s="14" t="str">
        <x:v>MG</x:v>
      </x:c>
      <x:c r="G59" s="14" t="str">
        <x:v>Serviços</x:v>
      </x:c>
      <x:c r="H59" s="16" t="n">
        <x:v>44558</x:v>
      </x:c>
    </x:row>
    <x:row r="60" ht="20" customHeight="1">
      <x:c r="A60" s="13" t="str">
        <x:v>CLI0059</x:v>
      </x:c>
      <x:c r="B60" s="14" t="str">
        <x:v>Gustavo Ibrahim Barbosa</x:v>
      </x:c>
      <x:c r="C60" s="14" t="str">
        <x:v>gustavo.ibrahim.barbosa.059@exemplo.invalid</x:v>
      </x:c>
      <x:c r="D60" s="14" t="str">
        <x:v>(00) 90000-0059</x:v>
      </x:c>
      <x:c r="E60" s="14" t="str">
        <x:v>Rio de Janeiro</x:v>
      </x:c>
      <x:c r="F60" s="14" t="str">
        <x:v>RJ</x:v>
      </x:c>
      <x:c r="G60" s="14" t="str">
        <x:v>Tecnologia</x:v>
      </x:c>
      <x:c r="H60" s="16" t="n">
        <x:v>45411</x:v>
      </x:c>
    </x:row>
    <x:row r="61" ht="20" customHeight="1">
      <x:c r="A61" s="13" t="str">
        <x:v>CLI0060</x:v>
      </x:c>
      <x:c r="B61" s="14" t="str">
        <x:v>Vinícius Teixeira Duarte</x:v>
      </x:c>
      <x:c r="C61" s="14" t="str">
        <x:v>vinicius.teixeira.duarte.060@exemplo.invalid</x:v>
      </x:c>
      <x:c r="D61" s="14" t="str">
        <x:v>(00) 90000-0060</x:v>
      </x:c>
      <x:c r="E61" s="14" t="str">
        <x:v>Belo Horizonte</x:v>
      </x:c>
      <x:c r="F61" s="14" t="str">
        <x:v>MG</x:v>
      </x:c>
      <x:c r="G61" s="14" t="str">
        <x:v>Construção</x:v>
      </x:c>
      <x:c r="H61" s="16" t="n">
        <x:v>44356</x:v>
      </x:c>
    </x:row>
    <x:row r="62" ht="20" customHeight="1">
      <x:c r="A62" s="13" t="str">
        <x:v>CLI0061</x:v>
      </x:c>
      <x:c r="B62" s="14" t="str">
        <x:v>João Gomes Henrique</x:v>
      </x:c>
      <x:c r="C62" s="14" t="str">
        <x:v>joao.gomes.henrique.061@exemplo.invalid</x:v>
      </x:c>
      <x:c r="D62" s="14" t="str">
        <x:v>(00) 90000-0061</x:v>
      </x:c>
      <x:c r="E62" s="14" t="str">
        <x:v>Blumenau</x:v>
      </x:c>
      <x:c r="F62" s="14" t="str">
        <x:v>SC</x:v>
      </x:c>
      <x:c r="G62" s="14" t="str">
        <x:v>Educação</x:v>
      </x:c>
      <x:c r="H62" s="16" t="n">
        <x:v>44178</x:v>
      </x:c>
    </x:row>
    <x:row r="63" ht="20" customHeight="1">
      <x:c r="A63" s="13" t="str">
        <x:v>CLI0062</x:v>
      </x:c>
      <x:c r="B63" s="14" t="str">
        <x:v>Enzo Pereira Duarte</x:v>
      </x:c>
      <x:c r="C63" s="14" t="str">
        <x:v>enzo.pereira.duarte.062@exemplo.invalid</x:v>
      </x:c>
      <x:c r="D63" s="14" t="str">
        <x:v>(00) 90000-0062</x:v>
      </x:c>
      <x:c r="E63" s="14" t="str">
        <x:v>Joinville</x:v>
      </x:c>
      <x:c r="F63" s="14" t="str">
        <x:v>SC</x:v>
      </x:c>
      <x:c r="G63" s="14" t="str">
        <x:v>Serviços</x:v>
      </x:c>
      <x:c r="H63" s="16" t="n">
        <x:v>44774</x:v>
      </x:c>
    </x:row>
    <x:row r="64" ht="20" customHeight="1">
      <x:c r="A64" s="13" t="str">
        <x:v>CLI0063</x:v>
      </x:c>
      <x:c r="B64" s="14" t="str">
        <x:v>Felipe Farias Queiroz</x:v>
      </x:c>
      <x:c r="C64" s="14" t="str">
        <x:v>felipe.farias.queiroz.063@exemplo.invalid</x:v>
      </x:c>
      <x:c r="D64" s="14" t="str">
        <x:v>(00) 90000-0063</x:v>
      </x:c>
      <x:c r="E64" s="14" t="str">
        <x:v>Caxias do Sul</x:v>
      </x:c>
      <x:c r="F64" s="14" t="str">
        <x:v>RS</x:v>
      </x:c>
      <x:c r="G64" s="14" t="str">
        <x:v>Tecnologia</x:v>
      </x:c>
      <x:c r="H64" s="16" t="n">
        <x:v>43490</x:v>
      </x:c>
    </x:row>
    <x:row r="65" ht="20" customHeight="1">
      <x:c r="A65" s="13" t="str">
        <x:v>CLI0064</x:v>
      </x:c>
      <x:c r="B65" s="14" t="str">
        <x:v>Leonardo Ibrahim Machado</x:v>
      </x:c>
      <x:c r="C65" s="14" t="str">
        <x:v>leonardo.ibrahim.machado.064@exemplo.invalid</x:v>
      </x:c>
      <x:c r="D65" s="14" t="str">
        <x:v>(00) 90000-0064</x:v>
      </x:c>
      <x:c r="E65" s="14" t="str">
        <x:v>Campinas</x:v>
      </x:c>
      <x:c r="F65" s="14" t="str">
        <x:v>SP</x:v>
      </x:c>
      <x:c r="G65" s="14" t="str">
        <x:v>Construção</x:v>
      </x:c>
      <x:c r="H65" s="16" t="n">
        <x:v>45576</x:v>
      </x:c>
    </x:row>
    <x:row r="66" ht="20" customHeight="1">
      <x:c r="A66" s="13" t="str">
        <x:v>CLI0065</x:v>
      </x:c>
      <x:c r="B66" s="14" t="str">
        <x:v>Nicolas Lopes Batista</x:v>
      </x:c>
      <x:c r="C66" s="14" t="str">
        <x:v>nicolas.lopes.batista.065@exemplo.invalid</x:v>
      </x:c>
      <x:c r="D66" s="14" t="str">
        <x:v>(00) 90000-0065</x:v>
      </x:c>
      <x:c r="E66" s="14" t="str">
        <x:v>Fortaleza</x:v>
      </x:c>
      <x:c r="F66" s="14" t="str">
        <x:v>CE</x:v>
      </x:c>
      <x:c r="G66" s="14" t="str">
        <x:v>Educação</x:v>
      </x:c>
      <x:c r="H66" s="16" t="n">
        <x:v>44525</x:v>
      </x:c>
    </x:row>
    <x:row r="67" ht="20" customHeight="1">
      <x:c r="A67" s="13" t="str">
        <x:v>CLI0066</x:v>
      </x:c>
      <x:c r="B67" s="14" t="str">
        <x:v>Enzo Farias Barbosa</x:v>
      </x:c>
      <x:c r="C67" s="14" t="str">
        <x:v>enzo.farias.barbosa.066@exemplo.invalid</x:v>
      </x:c>
      <x:c r="D67" s="14" t="str">
        <x:v>(00) 90000-0066</x:v>
      </x:c>
      <x:c r="E67" s="14" t="str">
        <x:v>Joinville</x:v>
      </x:c>
      <x:c r="F67" s="14" t="str">
        <x:v>SC</x:v>
      </x:c>
      <x:c r="G67" s="14" t="str">
        <x:v>Serviços</x:v>
      </x:c>
      <x:c r="H67" s="16" t="n">
        <x:v>43961</x:v>
      </x:c>
    </x:row>
    <x:row r="68" ht="20" customHeight="1">
      <x:c r="A68" s="13" t="str">
        <x:v>CLI0067</x:v>
      </x:c>
      <x:c r="B68" s="14" t="str">
        <x:v>Gustavo Nascimento Dias</x:v>
      </x:c>
      <x:c r="C68" s="14" t="str">
        <x:v>gustavo.nascimento.dias.067@exemplo.invalid</x:v>
      </x:c>
      <x:c r="D68" s="14" t="str">
        <x:v>(00) 90000-0067</x:v>
      </x:c>
      <x:c r="E68" s="14" t="str">
        <x:v>Caxias do Sul</x:v>
      </x:c>
      <x:c r="F68" s="14" t="str">
        <x:v>RS</x:v>
      </x:c>
      <x:c r="G68" s="14" t="str">
        <x:v>Tecnologia</x:v>
      </x:c>
      <x:c r="H68" s="16" t="n">
        <x:v>43892</x:v>
      </x:c>
    </x:row>
    <x:row r="69" ht="20" customHeight="1">
      <x:c r="A69" s="13" t="str">
        <x:v>CLI0068</x:v>
      </x:c>
      <x:c r="B69" s="14" t="str">
        <x:v>Igor Andrade Machado</x:v>
      </x:c>
      <x:c r="C69" s="14" t="str">
        <x:v>igor.andrade.machado.068@exemplo.invalid</x:v>
      </x:c>
      <x:c r="D69" s="14" t="str">
        <x:v>(00) 90000-0068</x:v>
      </x:c>
      <x:c r="E69" s="14" t="str">
        <x:v>Campinas</x:v>
      </x:c>
      <x:c r="F69" s="14" t="str">
        <x:v>SP</x:v>
      </x:c>
      <x:c r="G69" s="14" t="str">
        <x:v>Construção</x:v>
      </x:c>
      <x:c r="H69" s="16" t="n">
        <x:v>43917</x:v>
      </x:c>
    </x:row>
    <x:row r="70" ht="20" customHeight="1">
      <x:c r="A70" s="13" t="str">
        <x:v>CLI0069</x:v>
      </x:c>
      <x:c r="B70" s="14" t="str">
        <x:v>Lucas Andrade Vargas</x:v>
      </x:c>
      <x:c r="C70" s="14" t="str">
        <x:v>lucas.andrade.vargas.069@exemplo.invalid</x:v>
      </x:c>
      <x:c r="D70" s="14" t="str">
        <x:v>(00) 90000-0069</x:v>
      </x:c>
      <x:c r="E70" s="14" t="str">
        <x:v>Caxias do Sul</x:v>
      </x:c>
      <x:c r="F70" s="14" t="str">
        <x:v>RS</x:v>
      </x:c>
      <x:c r="G70" s="14" t="str">
        <x:v>Educação</x:v>
      </x:c>
      <x:c r="H70" s="16" t="n">
        <x:v>43665</x:v>
      </x:c>
    </x:row>
    <x:row r="71" ht="20" customHeight="1">
      <x:c r="A71" s="13" t="str">
        <x:v>CLI0070</x:v>
      </x:c>
      <x:c r="B71" s="14" t="str">
        <x:v>Bruno Rocha Barbosa</x:v>
      </x:c>
      <x:c r="C71" s="14" t="str">
        <x:v>bruno.rocha.barbosa.070@exemplo.invalid</x:v>
      </x:c>
      <x:c r="D71" s="14" t="str">
        <x:v>(00) 90000-0070</x:v>
      </x:c>
      <x:c r="E71" s="14" t="str">
        <x:v>Joinville</x:v>
      </x:c>
      <x:c r="F71" s="14" t="str">
        <x:v>SC</x:v>
      </x:c>
      <x:c r="G71" s="14" t="str">
        <x:v>Serviços</x:v>
      </x:c>
      <x:c r="H71" s="16" t="n">
        <x:v>44266</x:v>
      </x:c>
    </x:row>
    <x:row r="72" ht="20" customHeight="1">
      <x:c r="A72" s="13" t="str">
        <x:v>CLI0071</x:v>
      </x:c>
      <x:c r="B72" s="14" t="str">
        <x:v>Gustavo Teixeira Barbosa</x:v>
      </x:c>
      <x:c r="C72" s="14" t="str">
        <x:v>gustavo.teixeira.barbosa.071@exemplo.invalid</x:v>
      </x:c>
      <x:c r="D72" s="14" t="str">
        <x:v>(00) 90000-0071</x:v>
      </x:c>
      <x:c r="E72" s="14" t="str">
        <x:v>Blumenau</x:v>
      </x:c>
      <x:c r="F72" s="14" t="str">
        <x:v>SC</x:v>
      </x:c>
      <x:c r="G72" s="14" t="str">
        <x:v>Tecnologia</x:v>
      </x:c>
      <x:c r="H72" s="16" t="n">
        <x:v>45455</x:v>
      </x:c>
    </x:row>
    <x:row r="73" ht="20" customHeight="1">
      <x:c r="A73" s="13" t="str">
        <x:v>CLI0072</x:v>
      </x:c>
      <x:c r="B73" s="14" t="str">
        <x:v>Leonardo Farias Dias</x:v>
      </x:c>
      <x:c r="C73" s="14" t="str">
        <x:v>leonardo.farias.dias.072@exemplo.invalid</x:v>
      </x:c>
      <x:c r="D73" s="14" t="str">
        <x:v>(00) 90000-0072</x:v>
      </x:c>
      <x:c r="E73" s="14" t="str">
        <x:v>Campinas</x:v>
      </x:c>
      <x:c r="F73" s="14" t="str">
        <x:v>SP</x:v>
      </x:c>
      <x:c r="G73" s="14" t="str">
        <x:v>Construção</x:v>
      </x:c>
      <x:c r="H73" s="16" t="n">
        <x:v>44972</x:v>
      </x:c>
    </x:row>
    <x:row r="74" ht="20" customHeight="1">
      <x:c r="A74" s="13" t="str">
        <x:v>CLI0073</x:v>
      </x:c>
      <x:c r="B74" s="14" t="str">
        <x:v>Vinícius Lima Dias</x:v>
      </x:c>
      <x:c r="C74" s="14" t="str">
        <x:v>vinicius.lima.dias.073@exemplo.invalid</x:v>
      </x:c>
      <x:c r="D74" s="14" t="str">
        <x:v>(00) 90000-0073</x:v>
      </x:c>
      <x:c r="E74" s="14" t="str">
        <x:v>Caxias do Sul</x:v>
      </x:c>
      <x:c r="F74" s="14" t="str">
        <x:v>RS</x:v>
      </x:c>
      <x:c r="G74" s="14" t="str">
        <x:v>Educação</x:v>
      </x:c>
      <x:c r="H74" s="16" t="n">
        <x:v>44075</x:v>
      </x:c>
    </x:row>
    <x:row r="75" ht="20" customHeight="1">
      <x:c r="A75" s="13" t="str">
        <x:v>CLI0074</x:v>
      </x:c>
      <x:c r="B75" s="14" t="str">
        <x:v>Pedro Costa Mendes</x:v>
      </x:c>
      <x:c r="C75" s="14" t="str">
        <x:v>pedro.costa.mendes.074@exemplo.invalid</x:v>
      </x:c>
      <x:c r="D75" s="14" t="str">
        <x:v>(00) 90000-0074</x:v>
      </x:c>
      <x:c r="E75" s="14" t="str">
        <x:v>Belo Horizonte</x:v>
      </x:c>
      <x:c r="F75" s="14" t="str">
        <x:v>MG</x:v>
      </x:c>
      <x:c r="G75" s="14" t="str">
        <x:v>Serviços</x:v>
      </x:c>
      <x:c r="H75" s="16" t="n">
        <x:v>44433</x:v>
      </x:c>
    </x:row>
    <x:row r="76" ht="20" customHeight="1">
      <x:c r="A76" s="13" t="str">
        <x:v>CLI0075</x:v>
      </x:c>
      <x:c r="B76" s="14" t="str">
        <x:v>Daniel Esteves Ferreira</x:v>
      </x:c>
      <x:c r="C76" s="14" t="str">
        <x:v>daniel.esteves.ferreira.075@exemplo.invalid</x:v>
      </x:c>
      <x:c r="D76" s="14" t="str">
        <x:v>(00) 90000-0075</x:v>
      </x:c>
      <x:c r="E76" s="14" t="str">
        <x:v>Blumenau</x:v>
      </x:c>
      <x:c r="F76" s="14" t="str">
        <x:v>SC</x:v>
      </x:c>
      <x:c r="G76" s="14" t="str">
        <x:v>Tecnologia</x:v>
      </x:c>
      <x:c r="H76" s="16" t="n">
        <x:v>44172</x:v>
      </x:c>
    </x:row>
    <x:row r="77" ht="20" customHeight="1">
      <x:c r="A77" s="13" t="str">
        <x:v>CLI0076</x:v>
      </x:c>
      <x:c r="B77" s="14" t="str">
        <x:v>Vinícius Farias Machado</x:v>
      </x:c>
      <x:c r="C77" s="14" t="str">
        <x:v>vinicius.farias.machado.076@exemplo.invalid</x:v>
      </x:c>
      <x:c r="D77" s="14" t="str">
        <x:v>(00) 90000-0076</x:v>
      </x:c>
      <x:c r="E77" s="14" t="str">
        <x:v>Salvador</x:v>
      </x:c>
      <x:c r="F77" s="14" t="str">
        <x:v>BA</x:v>
      </x:c>
      <x:c r="G77" s="14" t="str">
        <x:v>Construção</x:v>
      </x:c>
      <x:c r="H77" s="16" t="n">
        <x:v>43959</x:v>
      </x:c>
    </x:row>
    <x:row r="78" ht="20" customHeight="1">
      <x:c r="A78" s="13" t="str">
        <x:v>CLI0077</x:v>
      </x:c>
      <x:c r="B78" s="14" t="str">
        <x:v>Henrique Gomes Dias</x:v>
      </x:c>
      <x:c r="C78" s="14" t="str">
        <x:v>henrique.gomes.dias.077@exemplo.invalid</x:v>
      </x:c>
      <x:c r="D78" s="14" t="str">
        <x:v>(00) 90000-0077</x:v>
      </x:c>
      <x:c r="E78" s="14" t="str">
        <x:v>Caxias do Sul</x:v>
      </x:c>
      <x:c r="F78" s="14" t="str">
        <x:v>RS</x:v>
      </x:c>
      <x:c r="G78" s="14" t="str">
        <x:v>Educação</x:v>
      </x:c>
      <x:c r="H78" s="16" t="n">
        <x:v>43530</x:v>
      </x:c>
    </x:row>
    <x:row r="79" ht="20" customHeight="1">
      <x:c r="A79" s="13" t="str">
        <x:v>CLI0078</x:v>
      </x:c>
      <x:c r="B79" s="14" t="str">
        <x:v>Lucas Gomes Queiroz</x:v>
      </x:c>
      <x:c r="C79" s="14" t="str">
        <x:v>lucas.gomes.queiroz.078@exemplo.invalid</x:v>
      </x:c>
      <x:c r="D79" s="14" t="str">
        <x:v>(00) 90000-0078</x:v>
      </x:c>
      <x:c r="E79" s="14" t="str">
        <x:v>Campinas</x:v>
      </x:c>
      <x:c r="F79" s="14" t="str">
        <x:v>SP</x:v>
      </x:c>
      <x:c r="G79" s="14" t="str">
        <x:v>Serviços</x:v>
      </x:c>
      <x:c r="H79" s="16" t="n">
        <x:v>44585</x:v>
      </x:c>
    </x:row>
    <x:row r="80" ht="20" customHeight="1">
      <x:c r="A80" s="13" t="str">
        <x:v>CLI0079</x:v>
      </x:c>
      <x:c r="B80" s="14" t="str">
        <x:v>Daniel Ramos Junqueira</x:v>
      </x:c>
      <x:c r="C80" s="14" t="str">
        <x:v>daniel.ramos.junqueira.079@exemplo.invalid</x:v>
      </x:c>
      <x:c r="D80" s="14" t="str">
        <x:v>(00) 90000-0079</x:v>
      </x:c>
      <x:c r="E80" s="14" t="str">
        <x:v>Rio de Janeiro</x:v>
      </x:c>
      <x:c r="F80" s="14" t="str">
        <x:v>RJ</x:v>
      </x:c>
      <x:c r="G80" s="14" t="str">
        <x:v>Tecnologia</x:v>
      </x:c>
      <x:c r="H80" s="16" t="n">
        <x:v>44926</x:v>
      </x:c>
    </x:row>
    <x:row r="81" ht="20" customHeight="1">
      <x:c r="A81" s="13" t="str">
        <x:v>CLI0080</x:v>
      </x:c>
      <x:c r="B81" s="14" t="str">
        <x:v>Caio Nascimento Vargas</x:v>
      </x:c>
      <x:c r="C81" s="14" t="str">
        <x:v>caio.nascimento.vargas.080@exemplo.invalid</x:v>
      </x:c>
      <x:c r="D81" s="14" t="str">
        <x:v>(00) 90000-0080</x:v>
      </x:c>
      <x:c r="E81" s="14" t="str">
        <x:v>Joinville</x:v>
      </x:c>
      <x:c r="F81" s="14" t="str">
        <x:v>SC</x:v>
      </x:c>
      <x:c r="G81" s="14" t="str">
        <x:v>Construção</x:v>
      </x:c>
      <x:c r="H81" s="16" t="n">
        <x:v>45855</x:v>
      </x:c>
    </x:row>
    <x:row r="82" ht="20" customHeight="1">
      <x:c r="A82" s="13" t="str">
        <x:v>CLI0081</x:v>
      </x:c>
      <x:c r="B82" s="14" t="str">
        <x:v>Samuel Ramos Machado</x:v>
      </x:c>
      <x:c r="C82" s="14" t="str">
        <x:v>samuel.ramos.machado.081@exemplo.invalid</x:v>
      </x:c>
      <x:c r="D82" s="14" t="str">
        <x:v>(00) 90000-0081</x:v>
      </x:c>
      <x:c r="E82" s="14" t="str">
        <x:v>Rio de Janeiro</x:v>
      </x:c>
      <x:c r="F82" s="14" t="str">
        <x:v>RJ</x:v>
      </x:c>
      <x:c r="G82" s="14" t="str">
        <x:v>Educação</x:v>
      </x:c>
      <x:c r="H82" s="16" t="n">
        <x:v>45510</x:v>
      </x:c>
    </x:row>
    <x:row r="83" ht="20" customHeight="1">
      <x:c r="A83" s="13" t="str">
        <x:v>CLI0082</x:v>
      </x:c>
      <x:c r="B83" s="14" t="str">
        <x:v>Bruno Esteves Barbosa</x:v>
      </x:c>
      <x:c r="C83" s="14" t="str">
        <x:v>bruno.esteves.barbosa.082@exemplo.invalid</x:v>
      </x:c>
      <x:c r="D83" s="14" t="str">
        <x:v>(00) 90000-0082</x:v>
      </x:c>
      <x:c r="E83" s="14" t="str">
        <x:v>Joinville</x:v>
      </x:c>
      <x:c r="F83" s="14" t="str">
        <x:v>SC</x:v>
      </x:c>
      <x:c r="G83" s="14" t="str">
        <x:v>Serviços</x:v>
      </x:c>
      <x:c r="H83" s="16" t="n">
        <x:v>45895</x:v>
      </x:c>
    </x:row>
    <x:row r="84" ht="20" customHeight="1">
      <x:c r="A84" s="13" t="str">
        <x:v>CLI0083</x:v>
      </x:c>
      <x:c r="B84" s="14" t="str">
        <x:v>Igor Costa Oliveira</x:v>
      </x:c>
      <x:c r="C84" s="14" t="str">
        <x:v>igor.costa.oliveira.083@exemplo.invalid</x:v>
      </x:c>
      <x:c r="D84" s="14" t="str">
        <x:v>(00) 90000-0083</x:v>
      </x:c>
      <x:c r="E84" s="14" t="str">
        <x:v>Caxias do Sul</x:v>
      </x:c>
      <x:c r="F84" s="14" t="str">
        <x:v>RS</x:v>
      </x:c>
      <x:c r="G84" s="14" t="str">
        <x:v>Tecnologia</x:v>
      </x:c>
      <x:c r="H84" s="16" t="n">
        <x:v>44914</x:v>
      </x:c>
    </x:row>
    <x:row r="85" ht="20" customHeight="1">
      <x:c r="A85" s="13" t="str">
        <x:v>CLI0084</x:v>
      </x:c>
      <x:c r="B85" s="14" t="str">
        <x:v>Lucas Ibrahim Garcia</x:v>
      </x:c>
      <x:c r="C85" s="14" t="str">
        <x:v>lucas.ibrahim.garcia.084@exemplo.invalid</x:v>
      </x:c>
      <x:c r="D85" s="14" t="str">
        <x:v>(00) 90000-0084</x:v>
      </x:c>
      <x:c r="E85" s="14" t="str">
        <x:v>Londrina</x:v>
      </x:c>
      <x:c r="F85" s="14" t="str">
        <x:v>PR</x:v>
      </x:c>
      <x:c r="G85" s="14" t="str">
        <x:v>Construção</x:v>
      </x:c>
      <x:c r="H85" s="16" t="n">
        <x:v>45165</x:v>
      </x:c>
    </x:row>
    <x:row r="86" ht="20" customHeight="1">
      <x:c r="A86" s="13" t="str">
        <x:v>CLI0085</x:v>
      </x:c>
      <x:c r="B86" s="14" t="str">
        <x:v>João Ramos Junqueira</x:v>
      </x:c>
      <x:c r="C86" s="14" t="str">
        <x:v>joao.ramos.junqueira.085@exemplo.invalid</x:v>
      </x:c>
      <x:c r="D86" s="14" t="str">
        <x:v>(00) 90000-0085</x:v>
      </x:c>
      <x:c r="E86" s="14" t="str">
        <x:v>Blumenau</x:v>
      </x:c>
      <x:c r="F86" s="14" t="str">
        <x:v>SC</x:v>
      </x:c>
      <x:c r="G86" s="14" t="str">
        <x:v>Educação</x:v>
      </x:c>
      <x:c r="H86" s="16" t="n">
        <x:v>44125</x:v>
      </x:c>
    </x:row>
    <x:row r="87" ht="20" customHeight="1">
      <x:c r="A87" s="13" t="str">
        <x:v>CLI0086</x:v>
      </x:c>
      <x:c r="B87" s="14" t="str">
        <x:v>Pedro Lopes Henrique</x:v>
      </x:c>
      <x:c r="C87" s="14" t="str">
        <x:v>pedro.lopes.henrique.086@exemplo.invalid</x:v>
      </x:c>
      <x:c r="D87" s="14" t="str">
        <x:v>(00) 90000-0086</x:v>
      </x:c>
      <x:c r="E87" s="14" t="str">
        <x:v>Londrina</x:v>
      </x:c>
      <x:c r="F87" s="14" t="str">
        <x:v>PR</x:v>
      </x:c>
      <x:c r="G87" s="14" t="str">
        <x:v>Serviços</x:v>
      </x:c>
      <x:c r="H87" s="16" t="n">
        <x:v>45860</x:v>
      </x:c>
    </x:row>
    <x:row r="88" ht="20" customHeight="1">
      <x:c r="A88" s="13" t="str">
        <x:v>CLI0087</x:v>
      </x:c>
      <x:c r="B88" s="14" t="str">
        <x:v>Nicolas Teixeira Batista</x:v>
      </x:c>
      <x:c r="C88" s="14" t="str">
        <x:v>nicolas.teixeira.batista.087@exemplo.invalid</x:v>
      </x:c>
      <x:c r="D88" s="14" t="str">
        <x:v>(00) 90000-0087</x:v>
      </x:c>
      <x:c r="E88" s="14" t="str">
        <x:v>Fortaleza</x:v>
      </x:c>
      <x:c r="F88" s="14" t="str">
        <x:v>CE</x:v>
      </x:c>
      <x:c r="G88" s="14" t="str">
        <x:v>Tecnologia</x:v>
      </x:c>
      <x:c r="H88" s="16" t="n">
        <x:v>45762</x:v>
      </x:c>
    </x:row>
    <x:row r="89" ht="20" customHeight="1">
      <x:c r="A89" s="13" t="str">
        <x:v>CLI0088</x:v>
      </x:c>
      <x:c r="B89" s="14" t="str">
        <x:v>Samuel Rocha Ferreira</x:v>
      </x:c>
      <x:c r="C89" s="14" t="str">
        <x:v>samuel.rocha.ferreira.088@exemplo.invalid</x:v>
      </x:c>
      <x:c r="D89" s="14" t="str">
        <x:v>(00) 90000-0088</x:v>
      </x:c>
      <x:c r="E89" s="14" t="str">
        <x:v>Belo Horizonte</x:v>
      </x:c>
      <x:c r="F89" s="14" t="str">
        <x:v>MG</x:v>
      </x:c>
      <x:c r="G89" s="14" t="str">
        <x:v>Construção</x:v>
      </x:c>
      <x:c r="H89" s="16" t="n">
        <x:v>43913</x:v>
      </x:c>
    </x:row>
    <x:row r="90" ht="20" customHeight="1">
      <x:c r="A90" s="13" t="str">
        <x:v>CLI0089</x:v>
      </x:c>
      <x:c r="B90" s="14" t="str">
        <x:v>Gustavo Esteves Barbosa</x:v>
      </x:c>
      <x:c r="C90" s="14" t="str">
        <x:v>gustavo.esteves.barbosa.089@exemplo.invalid</x:v>
      </x:c>
      <x:c r="D90" s="14" t="str">
        <x:v>(00) 90000-0089</x:v>
      </x:c>
      <x:c r="E90" s="14" t="str">
        <x:v>Fortaleza</x:v>
      </x:c>
      <x:c r="F90" s="14" t="str">
        <x:v>CE</x:v>
      </x:c>
      <x:c r="G90" s="14" t="str">
        <x:v>Educação</x:v>
      </x:c>
      <x:c r="H90" s="16" t="n">
        <x:v>45504</x:v>
      </x:c>
    </x:row>
    <x:row r="91" ht="20" customHeight="1">
      <x:c r="A91" s="13" t="str">
        <x:v>CLI0090</x:v>
      </x:c>
      <x:c r="B91" s="14" t="str">
        <x:v>Bruno Pereira Silva</x:v>
      </x:c>
      <x:c r="C91" s="14" t="str">
        <x:v>bruno.pereira.silva.090@exemplo.invalid</x:v>
      </x:c>
      <x:c r="D91" s="14" t="str">
        <x:v>(00) 90000-0090</x:v>
      </x:c>
      <x:c r="E91" s="14" t="str">
        <x:v>Salvador</x:v>
      </x:c>
      <x:c r="F91" s="14" t="str">
        <x:v>BA</x:v>
      </x:c>
      <x:c r="G91" s="14" t="str">
        <x:v>Serviços</x:v>
      </x:c>
      <x:c r="H91" s="16" t="n">
        <x:v>43806</x:v>
      </x:c>
    </x:row>
    <x:row r="92" ht="20" customHeight="1">
      <x:c r="A92" s="13" t="str">
        <x:v>CLI0091</x:v>
      </x:c>
      <x:c r="B92" s="14" t="str">
        <x:v>Nicolas Almeida Dias</x:v>
      </x:c>
      <x:c r="C92" s="14" t="str">
        <x:v>nicolas.almeida.dias.091@exemplo.invalid</x:v>
      </x:c>
      <x:c r="D92" s="14" t="str">
        <x:v>(00) 90000-0091</x:v>
      </x:c>
      <x:c r="E92" s="14" t="str">
        <x:v>Rio de Janeiro</x:v>
      </x:c>
      <x:c r="F92" s="14" t="str">
        <x:v>RJ</x:v>
      </x:c>
      <x:c r="G92" s="14" t="str">
        <x:v>Tecnologia</x:v>
      </x:c>
      <x:c r="H92" s="16" t="n">
        <x:v>45714</x:v>
      </x:c>
    </x:row>
    <x:row r="93" ht="20" customHeight="1">
      <x:c r="A93" s="13" t="str">
        <x:v>CLI0092</x:v>
      </x:c>
      <x:c r="B93" s="14" t="str">
        <x:v>Henrique Ibrahim Duarte</x:v>
      </x:c>
      <x:c r="C93" s="14" t="str">
        <x:v>henrique.ibrahim.duarte.092@exemplo.invalid</x:v>
      </x:c>
      <x:c r="D93" s="14" t="str">
        <x:v>(00) 90000-0092</x:v>
      </x:c>
      <x:c r="E93" s="14" t="str">
        <x:v>Londrina</x:v>
      </x:c>
      <x:c r="F93" s="14" t="str">
        <x:v>PR</x:v>
      </x:c>
      <x:c r="G93" s="14" t="str">
        <x:v>Construção</x:v>
      </x:c>
      <x:c r="H93" s="16" t="n">
        <x:v>44814</x:v>
      </x:c>
    </x:row>
    <x:row r="94" ht="20" customHeight="1">
      <x:c r="A94" s="13" t="str">
        <x:v>CLI0093</x:v>
      </x:c>
      <x:c r="B94" s="14" t="str">
        <x:v>Daniel Nascimento Barbosa</x:v>
      </x:c>
      <x:c r="C94" s="14" t="str">
        <x:v>daniel.nascimento.barbosa.093@exemplo.invalid</x:v>
      </x:c>
      <x:c r="D94" s="14" t="str">
        <x:v>(00) 90000-0093</x:v>
      </x:c>
      <x:c r="E94" s="14" t="str">
        <x:v>Caxias do Sul</x:v>
      </x:c>
      <x:c r="F94" s="14" t="str">
        <x:v>RS</x:v>
      </x:c>
      <x:c r="G94" s="14" t="str">
        <x:v>Educação</x:v>
      </x:c>
      <x:c r="H94" s="16" t="n">
        <x:v>45701</x:v>
      </x:c>
    </x:row>
    <x:row r="95" ht="20" customHeight="1">
      <x:c r="A95" s="13" t="str">
        <x:v>CLI0094</x:v>
      </x:c>
      <x:c r="B95" s="14" t="str">
        <x:v>Daniel Pereira Henrique</x:v>
      </x:c>
      <x:c r="C95" s="14" t="str">
        <x:v>daniel.pereira.henrique.094@exemplo.invalid</x:v>
      </x:c>
      <x:c r="D95" s="14" t="str">
        <x:v>(00) 90000-0094</x:v>
      </x:c>
      <x:c r="E95" s="14" t="str">
        <x:v>Londrina</x:v>
      </x:c>
      <x:c r="F95" s="14" t="str">
        <x:v>PR</x:v>
      </x:c>
      <x:c r="G95" s="14" t="str">
        <x:v>Serviços</x:v>
      </x:c>
      <x:c r="H95" s="16" t="n">
        <x:v>44315</x:v>
      </x:c>
    </x:row>
    <x:row r="96" ht="20" customHeight="1">
      <x:c r="A96" s="13" t="str">
        <x:v>CLI0095</x:v>
      </x:c>
      <x:c r="B96" s="14" t="str">
        <x:v>Daniel Costa Souza</x:v>
      </x:c>
      <x:c r="C96" s="14" t="str">
        <x:v>daniel.costa.souza.095@exemplo.invalid</x:v>
      </x:c>
      <x:c r="D96" s="14" t="str">
        <x:v>(00) 90000-0095</x:v>
      </x:c>
      <x:c r="E96" s="14" t="str">
        <x:v>Rio de Janeiro</x:v>
      </x:c>
      <x:c r="F96" s="14" t="str">
        <x:v>RJ</x:v>
      </x:c>
      <x:c r="G96" s="14" t="str">
        <x:v>Tecnologia</x:v>
      </x:c>
      <x:c r="H96" s="16" t="n">
        <x:v>44354</x:v>
      </x:c>
    </x:row>
    <x:row r="97" ht="20" customHeight="1">
      <x:c r="A97" s="13" t="str">
        <x:v>CLI0096</x:v>
      </x:c>
      <x:c r="B97" s="14" t="str">
        <x:v>Bruno Farias Henrique</x:v>
      </x:c>
      <x:c r="C97" s="14" t="str">
        <x:v>bruno.farias.henrique.096@exemplo.invalid</x:v>
      </x:c>
      <x:c r="D97" s="14" t="str">
        <x:v>(00) 90000-0096</x:v>
      </x:c>
      <x:c r="E97" s="14" t="str">
        <x:v>Belo Horizonte</x:v>
      </x:c>
      <x:c r="F97" s="14" t="str">
        <x:v>MG</x:v>
      </x:c>
      <x:c r="G97" s="14" t="str">
        <x:v>Construção</x:v>
      </x:c>
      <x:c r="H97" s="16" t="n">
        <x:v>44585</x:v>
      </x:c>
    </x:row>
    <x:row r="98" ht="20" customHeight="1">
      <x:c r="A98" s="13" t="str">
        <x:v>CLI0097</x:v>
      </x:c>
      <x:c r="B98" s="14" t="str">
        <x:v>Henrique Lima Souza</x:v>
      </x:c>
      <x:c r="C98" s="14" t="str">
        <x:v>henrique.lima.souza.097@exemplo.invalid</x:v>
      </x:c>
      <x:c r="D98" s="14" t="str">
        <x:v>(00) 90000-0097</x:v>
      </x:c>
      <x:c r="E98" s="14" t="str">
        <x:v>Caxias do Sul</x:v>
      </x:c>
      <x:c r="F98" s="14" t="str">
        <x:v>RS</x:v>
      </x:c>
      <x:c r="G98" s="14" t="str">
        <x:v>Educação</x:v>
      </x:c>
      <x:c r="H98" s="16" t="n">
        <x:v>44997</x:v>
      </x:c>
    </x:row>
    <x:row r="99" ht="20" customHeight="1">
      <x:c r="A99" s="13" t="str">
        <x:v>CLI0098</x:v>
      </x:c>
      <x:c r="B99" s="14" t="str">
        <x:v>Pedro Lopes Vargas</x:v>
      </x:c>
      <x:c r="C99" s="14" t="str">
        <x:v>pedro.lopes.vargas.098@exemplo.invalid</x:v>
      </x:c>
      <x:c r="D99" s="14" t="str">
        <x:v>(00) 90000-0098</x:v>
      </x:c>
      <x:c r="E99" s="14" t="str">
        <x:v>Salvador</x:v>
      </x:c>
      <x:c r="F99" s="14" t="str">
        <x:v>BA</x:v>
      </x:c>
      <x:c r="G99" s="14" t="str">
        <x:v>Serviços</x:v>
      </x:c>
      <x:c r="H99" s="16" t="n">
        <x:v>45551</x:v>
      </x:c>
    </x:row>
    <x:row r="100" ht="20" customHeight="1">
      <x:c r="A100" s="13" t="str">
        <x:v>CLI0099</x:v>
      </x:c>
      <x:c r="B100" s="14" t="str">
        <x:v>Daniel Andrade Mendes</x:v>
      </x:c>
      <x:c r="C100" s="14" t="str">
        <x:v>daniel.andrade.mendes.099@exemplo.invalid</x:v>
      </x:c>
      <x:c r="D100" s="14" t="str">
        <x:v>(00) 90000-0099</x:v>
      </x:c>
      <x:c r="E100" s="14" t="str">
        <x:v>Fortaleza</x:v>
      </x:c>
      <x:c r="F100" s="14" t="str">
        <x:v>CE</x:v>
      </x:c>
      <x:c r="G100" s="14" t="str">
        <x:v>Tecnologia</x:v>
      </x:c>
      <x:c r="H100" s="16" t="n">
        <x:v>45675</x:v>
      </x:c>
    </x:row>
    <x:row r="101" ht="20" customHeight="1">
      <x:c r="A101" s="13" t="str">
        <x:v>CLI0100</x:v>
      </x:c>
      <x:c r="B101" s="14" t="str">
        <x:v>Igor Ramos Silva</x:v>
      </x:c>
      <x:c r="C101" s="14" t="str">
        <x:v>igor.ramos.silva.100@exemplo.invalid</x:v>
      </x:c>
      <x:c r="D101" s="14" t="str">
        <x:v>(00) 90000-0100</x:v>
      </x:c>
      <x:c r="E101" s="14" t="str">
        <x:v>Campinas</x:v>
      </x:c>
      <x:c r="F101" s="14" t="str">
        <x:v>SP</x:v>
      </x:c>
      <x:c r="G101" s="14" t="str">
        <x:v>Construção</x:v>
      </x:c>
      <x:c r="H101" s="16" t="n">
        <x:v>45294</x:v>
      </x:c>
    </x:row>
  </x:sheetData>
  <x:pageMargins left="0.7" right="0.7" top="0.75" bottom="0.75" header="0.3" footer="0.3"/>
  <x:tableParts count="1">
    <x:tablePart xmlns:r="http://schemas.openxmlformats.org/officeDocument/2006/relationships" r:id="R1a707cc17865411a"/>
  </x:tableParts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23" hidden="0" customWidth="1"/>
    <x:col min="4" max="4" width="18" hidden="0" customWidth="1"/>
    <x:col min="5" max="5" width="13" hidden="0" customWidth="1"/>
    <x:col min="6" max="6" width="14" hidden="0" customWidth="1"/>
  </x:cols>
  <x:sheetData>
    <x:row r="1" ht="30" customHeight="1">
      <x:c r="A1" s="5" t="str">
        <x:v>ID do Produto</x:v>
      </x:c>
      <x:c r="B1" s="5" t="str">
        <x:v>Produto</x:v>
      </x:c>
      <x:c r="C1" s="5" t="str">
        <x:v>Categoria</x:v>
      </x:c>
      <x:c r="D1" s="5" t="str">
        <x:v>Preço Unitário (R$)</x:v>
      </x:c>
      <x:c r="E1" s="5" t="str">
        <x:v>Estoque</x:v>
      </x:c>
      <x:c r="F1" s="5" t="str">
        <x:v>Status</x:v>
      </x:c>
    </x:row>
    <x:row r="2" ht="20" customHeight="1">
      <x:c r="A2" s="13" t="str">
        <x:v>PROD001</x:v>
      </x:c>
      <x:c r="B2" s="14" t="str">
        <x:v>Caderno Universitário</x:v>
      </x:c>
      <x:c r="C2" s="14" t="str">
        <x:v>Papelaria</x:v>
      </x:c>
      <x:c r="D2" s="17" t="n">
        <x:v>24.9</x:v>
      </x:c>
      <x:c r="E2" s="18" t="n">
        <x:v>85</x:v>
      </x:c>
      <x:c r="F2" s="15" t="str">
        <x:v>Ativo</x:v>
      </x:c>
    </x:row>
    <x:row r="3" ht="20" customHeight="1">
      <x:c r="A3" s="13" t="str">
        <x:v>PROD002</x:v>
      </x:c>
      <x:c r="B3" s="14" t="str">
        <x:v>Garrafa Térmica 750 ml</x:v>
      </x:c>
      <x:c r="C3" s="14" t="str">
        <x:v>Casa e Cozinha</x:v>
      </x:c>
      <x:c r="D3" s="17" t="n">
        <x:v>79.9</x:v>
      </x:c>
      <x:c r="E3" s="18" t="n">
        <x:v>42</x:v>
      </x:c>
      <x:c r="F3" s="15" t="str">
        <x:v>Ativo</x:v>
      </x:c>
    </x:row>
    <x:row r="4" ht="20" customHeight="1">
      <x:c r="A4" s="13" t="str">
        <x:v>PROD003</x:v>
      </x:c>
      <x:c r="B4" s="14" t="str">
        <x:v>Fone Bluetooth</x:v>
      </x:c>
      <x:c r="C4" s="14" t="str">
        <x:v>Eletrônicos</x:v>
      </x:c>
      <x:c r="D4" s="17" t="n">
        <x:v>129.9</x:v>
      </x:c>
      <x:c r="E4" s="18" t="n">
        <x:v>31</x:v>
      </x:c>
      <x:c r="F4" s="15" t="str">
        <x:v>Ativo</x:v>
      </x:c>
    </x:row>
    <x:row r="5" ht="20" customHeight="1">
      <x:c r="A5" s="13" t="str">
        <x:v>PROD004</x:v>
      </x:c>
      <x:c r="B5" s="14" t="str">
        <x:v>Mochila Urbana</x:v>
      </x:c>
      <x:c r="C5" s="14" t="str">
        <x:v>Acessórios</x:v>
      </x:c>
      <x:c r="D5" s="17" t="n">
        <x:v>159</x:v>
      </x:c>
      <x:c r="E5" s="18" t="n">
        <x:v>26</x:v>
      </x:c>
      <x:c r="F5" s="15" t="str">
        <x:v>Ativo</x:v>
      </x:c>
    </x:row>
    <x:row r="6" ht="20" customHeight="1">
      <x:c r="A6" s="13" t="str">
        <x:v>PROD005</x:v>
      </x:c>
      <x:c r="B6" s="14" t="str">
        <x:v>Luminária de Mesa LED</x:v>
      </x:c>
      <x:c r="C6" s="14" t="str">
        <x:v>Casa e Escritório</x:v>
      </x:c>
      <x:c r="D6" s="17" t="n">
        <x:v>89.5</x:v>
      </x:c>
      <x:c r="E6" s="18" t="n">
        <x:v>38</x:v>
      </x:c>
      <x:c r="F6" s="15" t="str">
        <x:v>Ativo</x:v>
      </x:c>
    </x:row>
    <x:row r="7" ht="20" customHeight="1">
      <x:c r="A7" s="13" t="str">
        <x:v>PROD006</x:v>
      </x:c>
      <x:c r="B7" s="14" t="str">
        <x:v>Teclado Sem Fio</x:v>
      </x:c>
      <x:c r="C7" s="14" t="str">
        <x:v>Eletrônicos</x:v>
      </x:c>
      <x:c r="D7" s="17" t="n">
        <x:v>119.9</x:v>
      </x:c>
      <x:c r="E7" s="18" t="n">
        <x:v>22</x:v>
      </x:c>
      <x:c r="F7" s="15" t="str">
        <x:v>Ativo</x:v>
      </x:c>
    </x:row>
    <x:row r="8" ht="20" customHeight="1">
      <x:c r="A8" s="13" t="str">
        <x:v>PROD007</x:v>
      </x:c>
      <x:c r="B8" s="14" t="str">
        <x:v>Caneca Cerâmica</x:v>
      </x:c>
      <x:c r="C8" s="14" t="str">
        <x:v>Casa e Cozinha</x:v>
      </x:c>
      <x:c r="D8" s="17" t="n">
        <x:v>32</x:v>
      </x:c>
      <x:c r="E8" s="18" t="n">
        <x:v>60</x:v>
      </x:c>
      <x:c r="F8" s="15" t="str">
        <x:v>Ativo</x:v>
      </x:c>
    </x:row>
    <x:row r="9" ht="20" customHeight="1">
      <x:c r="A9" s="13" t="str">
        <x:v>PROD008</x:v>
      </x:c>
      <x:c r="B9" s="14" t="str">
        <x:v>Organizador de Mesa</x:v>
      </x:c>
      <x:c r="C9" s="14" t="str">
        <x:v>Papelaria</x:v>
      </x:c>
      <x:c r="D9" s="17" t="n">
        <x:v>45.9</x:v>
      </x:c>
      <x:c r="E9" s="18" t="n">
        <x:v>47</x:v>
      </x:c>
      <x:c r="F9" s="15" t="str">
        <x:v>Ativo</x:v>
      </x:c>
    </x:row>
    <x:row r="10" ht="20" customHeight="1">
      <x:c r="A10" s="13" t="str">
        <x:v>PROD009</x:v>
      </x:c>
      <x:c r="B10" s="14" t="str">
        <x:v>Carregador USB-C</x:v>
      </x:c>
      <x:c r="C10" s="14" t="str">
        <x:v>Eletrônicos</x:v>
      </x:c>
      <x:c r="D10" s="17" t="n">
        <x:v>59.9</x:v>
      </x:c>
      <x:c r="E10" s="18" t="n">
        <x:v>54</x:v>
      </x:c>
      <x:c r="F10" s="15" t="str">
        <x:v>Ativo</x:v>
      </x:c>
    </x:row>
    <x:row r="11" ht="20" customHeight="1">
      <x:c r="A11" s="13" t="str">
        <x:v>PROD010</x:v>
      </x:c>
      <x:c r="B11" s="14" t="str">
        <x:v>Kit de Toalhas</x:v>
      </x:c>
      <x:c r="C11" s="14" t="str">
        <x:v>Casa e Banho</x:v>
      </x:c>
      <x:c r="D11" s="17" t="n">
        <x:v>99</x:v>
      </x:c>
      <x:c r="E11" s="18" t="n">
        <x:v>29</x:v>
      </x:c>
      <x:c r="F11" s="15" t="str">
        <x:v>Ativo</x:v>
      </x:c>
    </x:row>
  </x:sheetData>
  <x:pageMargins left="0.7" right="0.7" top="0.75" bottom="0.75" header="0.3" footer="0.3"/>
  <x:tableParts count="1">
    <x:tablePart xmlns:r="http://schemas.openxmlformats.org/officeDocument/2006/relationships" r:id="R838f1b07ccc74ee4"/>
  </x:tableParts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27" hidden="0" customWidth="1"/>
    <x:col min="5" max="5" width="15" hidden="0" customWidth="1"/>
    <x:col min="6" max="6" width="30" hidden="0" customWidth="1"/>
    <x:col min="7" max="7" width="13" hidden="0" customWidth="1"/>
    <x:col min="8" max="8" width="19" hidden="0" customWidth="1"/>
    <x:col min="9" max="9" width="18" hidden="0" customWidth="1"/>
    <x:col min="10" max="10" width="23" hidden="0" customWidth="1"/>
    <x:col min="11" max="11" width="16" hidden="0" customWidth="1"/>
    <x:col min="12" max="12" width="13" hidden="0" customWidth="1"/>
  </x:cols>
  <x:sheetData>
    <x:row r="1" ht="30" customHeight="1">
      <x:c r="A1" s="5" t="str">
        <x:v>ID do Pedido</x:v>
      </x:c>
      <x:c r="B1" s="5" t="str">
        <x:v>Data do Pedido</x:v>
      </x:c>
      <x:c r="C1" s="5" t="str">
        <x:v>ID do Cliente</x:v>
      </x:c>
      <x:c r="D1" s="5" t="str">
        <x:v>Cliente</x:v>
      </x:c>
      <x:c r="E1" s="5" t="str">
        <x:v>ID do Produto</x:v>
      </x:c>
      <x:c r="F1" s="5" t="str">
        <x:v>Produto</x:v>
      </x:c>
      <x:c r="G1" s="5" t="str">
        <x:v>Quantidade</x:v>
      </x:c>
      <x:c r="H1" s="5" t="str">
        <x:v>Preço Unitário (R$)</x:v>
      </x:c>
      <x:c r="I1" s="5" t="str">
        <x:v>Valor Total (R$)</x:v>
      </x:c>
      <x:c r="J1" s="5" t="str">
        <x:v>Forma de Pagamento</x:v>
      </x:c>
      <x:c r="K1" s="5" t="str">
        <x:v>Status</x:v>
      </x:c>
      <x:c r="L1" s="5" t="str">
        <x:v>UF do Cliente</x:v>
      </x:c>
    </x:row>
    <x:row r="2" ht="20" customHeight="1">
      <x:c r="A2" s="13" t="str">
        <x:v>PED00001</x:v>
      </x:c>
      <x:c r="B2" s="19" t="n">
        <x:v>46088</x:v>
      </x:c>
      <x:c r="C2" s="14" t="str">
        <x:v>CLI0078</x:v>
      </x:c>
      <x:c r="D2" s="14" t="str">
        <x:f>INDEX(Clientes!$B$2:$B$101,MATCH(C2,Clientes!$A$2:$A$101,0))</x:f>
        <x:v>Lucas Gomes Queiroz</x:v>
      </x:c>
      <x:c r="E2" s="14" t="str">
        <x:v>PROD007</x:v>
      </x:c>
      <x:c r="F2" s="14" t="str">
        <x:f>INDEX(Produtos!$B$2:$B$11,MATCH(E2,Produtos!$A$2:$A$11,0))</x:f>
        <x:v>Caneca Cerâmica</x:v>
      </x:c>
      <x:c r="G2" s="18" t="n">
        <x:v>7</x:v>
      </x:c>
      <x:c r="H2" s="17" t="n">
        <x:f>INDEX(Produtos!$D$2:$D$11,MATCH(E2,Produtos!$A$2:$A$11,0))</x:f>
        <x:v>32</x:v>
      </x:c>
      <x:c r="I2" s="17" t="n">
        <x:f>G2*H2</x:f>
        <x:v>224</x:v>
      </x:c>
      <x:c r="J2" s="14" t="str">
        <x:v>Cartão de crédito</x:v>
      </x:c>
      <x:c r="K2" s="14" t="str">
        <x:v>Entregue</x:v>
      </x:c>
      <x:c r="L2" s="15" t="str">
        <x:f>INDEX(Clientes!$F$2:$F$101,MATCH(C2,Clientes!$A$2:$A$101,0))</x:f>
        <x:v>SP</x:v>
      </x:c>
    </x:row>
    <x:row r="3" ht="20" customHeight="1">
      <x:c r="A3" s="13" t="str">
        <x:v>PED00002</x:v>
      </x:c>
      <x:c r="B3" s="19" t="n">
        <x:v>46226</x:v>
      </x:c>
      <x:c r="C3" s="14" t="str">
        <x:v>CLI0080</x:v>
      </x:c>
      <x:c r="D3" s="14" t="str">
        <x:f>INDEX(Clientes!$B$2:$B$101,MATCH(C3,Clientes!$A$2:$A$101,0))</x:f>
        <x:v>Caio Nascimento Vargas</x:v>
      </x:c>
      <x:c r="E3" s="14" t="str">
        <x:v>PROD009</x:v>
      </x:c>
      <x:c r="F3" s="14" t="str">
        <x:f>INDEX(Produtos!$B$2:$B$11,MATCH(E3,Produtos!$A$2:$A$11,0))</x:f>
        <x:v>Carregador USB-C</x:v>
      </x:c>
      <x:c r="G3" s="18" t="n">
        <x:v>5</x:v>
      </x:c>
      <x:c r="H3" s="17" t="n">
        <x:f>INDEX(Produtos!$D$2:$D$11,MATCH(E3,Produtos!$A$2:$A$11,0))</x:f>
        <x:v>59.9</x:v>
      </x:c>
      <x:c r="I3" s="17" t="n">
        <x:f>G3*H3</x:f>
        <x:v>299.5</x:v>
      </x:c>
      <x:c r="J3" s="14" t="str">
        <x:v>Boleto</x:v>
      </x:c>
      <x:c r="K3" s="14" t="str">
        <x:v>Processando</x:v>
      </x:c>
      <x:c r="L3" s="15" t="str">
        <x:f>INDEX(Clientes!$F$2:$F$101,MATCH(C3,Clientes!$A$2:$A$101,0))</x:f>
        <x:v>SC</x:v>
      </x:c>
    </x:row>
    <x:row r="4" ht="20" customHeight="1">
      <x:c r="A4" s="13" t="str">
        <x:v>PED00003</x:v>
      </x:c>
      <x:c r="B4" s="19" t="n">
        <x:v>46039</x:v>
      </x:c>
      <x:c r="C4" s="14" t="str">
        <x:v>CLI0034</x:v>
      </x:c>
      <x:c r="D4" s="14" t="str">
        <x:f>INDEX(Clientes!$B$2:$B$101,MATCH(C4,Clientes!$A$2:$A$101,0))</x:f>
        <x:v>Igor Nascimento Garcia</x:v>
      </x:c>
      <x:c r="E4" s="14" t="str">
        <x:v>PROD005</x:v>
      </x:c>
      <x:c r="F4" s="14" t="str">
        <x:f>INDEX(Produtos!$B$2:$B$11,MATCH(E4,Produtos!$A$2:$A$11,0))</x:f>
        <x:v>Luminária de Mesa LED</x:v>
      </x:c>
      <x:c r="G4" s="18" t="n">
        <x:v>3</x:v>
      </x:c>
      <x:c r="H4" s="17" t="n">
        <x:f>INDEX(Produtos!$D$2:$D$11,MATCH(E4,Produtos!$A$2:$A$11,0))</x:f>
        <x:v>89.5</x:v>
      </x:c>
      <x:c r="I4" s="17" t="n">
        <x:f>G4*H4</x:f>
        <x:v>268.5</x:v>
      </x:c>
      <x:c r="J4" s="14" t="str">
        <x:v>Cartão de crédito</x:v>
      </x:c>
      <x:c r="K4" s="14" t="str">
        <x:v>Entregue</x:v>
      </x:c>
      <x:c r="L4" s="15" t="str">
        <x:f>INDEX(Clientes!$F$2:$F$101,MATCH(C4,Clientes!$A$2:$A$101,0))</x:f>
        <x:v>PR</x:v>
      </x:c>
    </x:row>
    <x:row r="5" ht="20" customHeight="1">
      <x:c r="A5" s="13" t="str">
        <x:v>PED00004</x:v>
      </x:c>
      <x:c r="B5" s="19" t="n">
        <x:v>46228</x:v>
      </x:c>
      <x:c r="C5" s="14" t="str">
        <x:v>CLI0084</x:v>
      </x:c>
      <x:c r="D5" s="14" t="str">
        <x:f>INDEX(Clientes!$B$2:$B$101,MATCH(C5,Clientes!$A$2:$A$101,0))</x:f>
        <x:v>Lucas Ibrahim Garcia</x:v>
      </x:c>
      <x:c r="E5" s="14" t="str">
        <x:v>PROD007</x:v>
      </x:c>
      <x:c r="F5" s="14" t="str">
        <x:f>INDEX(Produtos!$B$2:$B$11,MATCH(E5,Produtos!$A$2:$A$11,0))</x:f>
        <x:v>Caneca Cerâmica</x:v>
      </x:c>
      <x:c r="G5" s="18" t="n">
        <x:v>1</x:v>
      </x:c>
      <x:c r="H5" s="17" t="n">
        <x:f>INDEX(Produtos!$D$2:$D$11,MATCH(E5,Produtos!$A$2:$A$11,0))</x:f>
        <x:v>32</x:v>
      </x:c>
      <x:c r="I5" s="17" t="n">
        <x:f>G5*H5</x:f>
        <x:v>32</x:v>
      </x:c>
      <x:c r="J5" s="14" t="str">
        <x:v>Boleto</x:v>
      </x:c>
      <x:c r="K5" s="14" t="str">
        <x:v>Processando</x:v>
      </x:c>
      <x:c r="L5" s="15" t="str">
        <x:f>INDEX(Clientes!$F$2:$F$101,MATCH(C5,Clientes!$A$2:$A$101,0))</x:f>
        <x:v>PR</x:v>
      </x:c>
    </x:row>
    <x:row r="6" ht="20" customHeight="1">
      <x:c r="A6" s="13" t="str">
        <x:v>PED00005</x:v>
      </x:c>
      <x:c r="B6" s="19" t="n">
        <x:v>46185</x:v>
      </x:c>
      <x:c r="C6" s="14" t="str">
        <x:v>CLI0058</x:v>
      </x:c>
      <x:c r="D6" s="14" t="str">
        <x:f>INDEX(Clientes!$B$2:$B$101,MATCH(C6,Clientes!$A$2:$A$101,0))</x:f>
        <x:v>Igor Pereira Duarte</x:v>
      </x:c>
      <x:c r="E6" s="14" t="str">
        <x:v>PROD001</x:v>
      </x:c>
      <x:c r="F6" s="14" t="str">
        <x:f>INDEX(Produtos!$B$2:$B$11,MATCH(E6,Produtos!$A$2:$A$11,0))</x:f>
        <x:v>Caderno Universitário</x:v>
      </x:c>
      <x:c r="G6" s="18" t="n">
        <x:v>7</x:v>
      </x:c>
      <x:c r="H6" s="17" t="n">
        <x:f>INDEX(Produtos!$D$2:$D$11,MATCH(E6,Produtos!$A$2:$A$11,0))</x:f>
        <x:v>24.9</x:v>
      </x:c>
      <x:c r="I6" s="17" t="n">
        <x:f>G6*H6</x:f>
        <x:v>174.29999999999998</x:v>
      </x:c>
      <x:c r="J6" s="14" t="str">
        <x:v>Cartão de crédito</x:v>
      </x:c>
      <x:c r="K6" s="14" t="str">
        <x:v>Entregue</x:v>
      </x:c>
      <x:c r="L6" s="15" t="str">
        <x:f>INDEX(Clientes!$F$2:$F$101,MATCH(C6,Clientes!$A$2:$A$101,0))</x:f>
        <x:v>MG</x:v>
      </x:c>
    </x:row>
    <x:row r="7" ht="20" customHeight="1">
      <x:c r="A7" s="13" t="str">
        <x:v>PED00006</x:v>
      </x:c>
      <x:c r="B7" s="19" t="n">
        <x:v>46293</x:v>
      </x:c>
      <x:c r="C7" s="14" t="str">
        <x:v>CLI0060</x:v>
      </x:c>
      <x:c r="D7" s="14" t="str">
        <x:f>INDEX(Clientes!$B$2:$B$101,MATCH(C7,Clientes!$A$2:$A$101,0))</x:f>
        <x:v>Vinícius Teixeira Duarte</x:v>
      </x:c>
      <x:c r="E7" s="14" t="str">
        <x:v>PROD009</x:v>
      </x:c>
      <x:c r="F7" s="14" t="str">
        <x:f>INDEX(Produtos!$B$2:$B$11,MATCH(E7,Produtos!$A$2:$A$11,0))</x:f>
        <x:v>Carregador USB-C</x:v>
      </x:c>
      <x:c r="G7" s="18" t="n">
        <x:v>5</x:v>
      </x:c>
      <x:c r="H7" s="17" t="n">
        <x:f>INDEX(Produtos!$D$2:$D$11,MATCH(E7,Produtos!$A$2:$A$11,0))</x:f>
        <x:v>59.9</x:v>
      </x:c>
      <x:c r="I7" s="17" t="n">
        <x:f>G7*H7</x:f>
        <x:v>299.5</x:v>
      </x:c>
      <x:c r="J7" s="14" t="str">
        <x:v>Boleto</x:v>
      </x:c>
      <x:c r="K7" s="14" t="str">
        <x:v>Processando</x:v>
      </x:c>
      <x:c r="L7" s="15" t="str">
        <x:f>INDEX(Clientes!$F$2:$F$101,MATCH(C7,Clientes!$A$2:$A$101,0))</x:f>
        <x:v>MG</x:v>
      </x:c>
    </x:row>
    <x:row r="8" ht="20" customHeight="1">
      <x:c r="A8" s="13" t="str">
        <x:v>PED00007</x:v>
      </x:c>
      <x:c r="B8" s="19" t="n">
        <x:v>46224</x:v>
      </x:c>
      <x:c r="C8" s="14" t="str">
        <x:v>CLI0086</x:v>
      </x:c>
      <x:c r="D8" s="14" t="str">
        <x:f>INDEX(Clientes!$B$2:$B$101,MATCH(C8,Clientes!$A$2:$A$101,0))</x:f>
        <x:v>Pedro Lopes Henrique</x:v>
      </x:c>
      <x:c r="E8" s="14" t="str">
        <x:v>PROD009</x:v>
      </x:c>
      <x:c r="F8" s="14" t="str">
        <x:f>INDEX(Produtos!$B$2:$B$11,MATCH(E8,Produtos!$A$2:$A$11,0))</x:f>
        <x:v>Carregador USB-C</x:v>
      </x:c>
      <x:c r="G8" s="18" t="n">
        <x:v>3</x:v>
      </x:c>
      <x:c r="H8" s="17" t="n">
        <x:f>INDEX(Produtos!$D$2:$D$11,MATCH(E8,Produtos!$A$2:$A$11,0))</x:f>
        <x:v>59.9</x:v>
      </x:c>
      <x:c r="I8" s="17" t="n">
        <x:f>G8*H8</x:f>
        <x:v>179.7</x:v>
      </x:c>
      <x:c r="J8" s="14" t="str">
        <x:v>Cartão de crédito</x:v>
      </x:c>
      <x:c r="K8" s="14" t="str">
        <x:v>Entregue</x:v>
      </x:c>
      <x:c r="L8" s="15" t="str">
        <x:f>INDEX(Clientes!$F$2:$F$101,MATCH(C8,Clientes!$A$2:$A$101,0))</x:f>
        <x:v>PR</x:v>
      </x:c>
    </x:row>
    <x:row r="9" ht="20" customHeight="1">
      <x:c r="A9" s="13" t="str">
        <x:v>PED00008</x:v>
      </x:c>
      <x:c r="B9" s="19" t="n">
        <x:v>46198</x:v>
      </x:c>
      <x:c r="C9" s="14" t="str">
        <x:v>CLI0064</x:v>
      </x:c>
      <x:c r="D9" s="14" t="str">
        <x:f>INDEX(Clientes!$B$2:$B$101,MATCH(C9,Clientes!$A$2:$A$101,0))</x:f>
        <x:v>Leonardo Ibrahim Machado</x:v>
      </x:c>
      <x:c r="E9" s="14" t="str">
        <x:v>PROD009</x:v>
      </x:c>
      <x:c r="F9" s="14" t="str">
        <x:f>INDEX(Produtos!$B$2:$B$11,MATCH(E9,Produtos!$A$2:$A$11,0))</x:f>
        <x:v>Carregador USB-C</x:v>
      </x:c>
      <x:c r="G9" s="18" t="n">
        <x:v>1</x:v>
      </x:c>
      <x:c r="H9" s="17" t="n">
        <x:f>INDEX(Produtos!$D$2:$D$11,MATCH(E9,Produtos!$A$2:$A$11,0))</x:f>
        <x:v>59.9</x:v>
      </x:c>
      <x:c r="I9" s="17" t="n">
        <x:f>G9*H9</x:f>
        <x:v>59.9</x:v>
      </x:c>
      <x:c r="J9" s="14" t="str">
        <x:v>Boleto</x:v>
      </x:c>
      <x:c r="K9" s="14" t="str">
        <x:v>Processando</x:v>
      </x:c>
      <x:c r="L9" s="15" t="str">
        <x:f>INDEX(Clientes!$F$2:$F$101,MATCH(C9,Clientes!$A$2:$A$101,0))</x:f>
        <x:v>SP</x:v>
      </x:c>
    </x:row>
    <x:row r="10" ht="20" customHeight="1">
      <x:c r="A10" s="13" t="str">
        <x:v>PED00009</x:v>
      </x:c>
      <x:c r="B10" s="19" t="n">
        <x:v>46288</x:v>
      </x:c>
      <x:c r="C10" s="14" t="str">
        <x:v>CLI0030</x:v>
      </x:c>
      <x:c r="D10" s="14" t="str">
        <x:f>INDEX(Clientes!$B$2:$B$101,MATCH(C10,Clientes!$A$2:$A$101,0))</x:f>
        <x:v>Henrique Gomes Batista</x:v>
      </x:c>
      <x:c r="E10" s="14" t="str">
        <x:v>PROD005</x:v>
      </x:c>
      <x:c r="F10" s="14" t="str">
        <x:f>INDEX(Produtos!$B$2:$B$11,MATCH(E10,Produtos!$A$2:$A$11,0))</x:f>
        <x:v>Luminária de Mesa LED</x:v>
      </x:c>
      <x:c r="G10" s="18" t="n">
        <x:v>7</x:v>
      </x:c>
      <x:c r="H10" s="17" t="n">
        <x:f>INDEX(Produtos!$D$2:$D$11,MATCH(E10,Produtos!$A$2:$A$11,0))</x:f>
        <x:v>89.5</x:v>
      </x:c>
      <x:c r="I10" s="17" t="n">
        <x:f>G10*H10</x:f>
        <x:v>626.5</x:v>
      </x:c>
      <x:c r="J10" s="14" t="str">
        <x:v>Cartão de crédito</x:v>
      </x:c>
      <x:c r="K10" s="14" t="str">
        <x:v>Entregue</x:v>
      </x:c>
      <x:c r="L10" s="15" t="str">
        <x:f>INDEX(Clientes!$F$2:$F$101,MATCH(C10,Clientes!$A$2:$A$101,0))</x:f>
        <x:v>SP</x:v>
      </x:c>
    </x:row>
    <x:row r="11" ht="20" customHeight="1">
      <x:c r="A11" s="13" t="str">
        <x:v>PED00010</x:v>
      </x:c>
      <x:c r="B11" s="19" t="n">
        <x:v>46205</x:v>
      </x:c>
      <x:c r="C11" s="14" t="str">
        <x:v>CLI0088</x:v>
      </x:c>
      <x:c r="D11" s="14" t="str">
        <x:f>INDEX(Clientes!$B$2:$B$101,MATCH(C11,Clientes!$A$2:$A$101,0))</x:f>
        <x:v>Samuel Rocha Ferreira</x:v>
      </x:c>
      <x:c r="E11" s="14" t="str">
        <x:v>PROD005</x:v>
      </x:c>
      <x:c r="F11" s="14" t="str">
        <x:f>INDEX(Produtos!$B$2:$B$11,MATCH(E11,Produtos!$A$2:$A$11,0))</x:f>
        <x:v>Luminária de Mesa LED</x:v>
      </x:c>
      <x:c r="G11" s="18" t="n">
        <x:v>5</x:v>
      </x:c>
      <x:c r="H11" s="17" t="n">
        <x:f>INDEX(Produtos!$D$2:$D$11,MATCH(E11,Produtos!$A$2:$A$11,0))</x:f>
        <x:v>89.5</x:v>
      </x:c>
      <x:c r="I11" s="17" t="n">
        <x:f>G11*H11</x:f>
        <x:v>447.5</x:v>
      </x:c>
      <x:c r="J11" s="14" t="str">
        <x:v>Boleto</x:v>
      </x:c>
      <x:c r="K11" s="14" t="str">
        <x:v>Processando</x:v>
      </x:c>
      <x:c r="L11" s="15" t="str">
        <x:f>INDEX(Clientes!$F$2:$F$101,MATCH(C11,Clientes!$A$2:$A$101,0))</x:f>
        <x:v>MG</x:v>
      </x:c>
    </x:row>
    <x:row r="12" ht="20" customHeight="1">
      <x:c r="A12" s="13" t="str">
        <x:v>PED00011</x:v>
      </x:c>
      <x:c r="B12" s="19" t="n">
        <x:v>46148</x:v>
      </x:c>
      <x:c r="C12" s="14" t="str">
        <x:v>CLI0070</x:v>
      </x:c>
      <x:c r="D12" s="14" t="str">
        <x:f>INDEX(Clientes!$B$2:$B$101,MATCH(C12,Clientes!$A$2:$A$101,0))</x:f>
        <x:v>Bruno Rocha Barbosa</x:v>
      </x:c>
      <x:c r="E12" s="14" t="str">
        <x:v>PROD001</x:v>
      </x:c>
      <x:c r="F12" s="14" t="str">
        <x:f>INDEX(Produtos!$B$2:$B$11,MATCH(E12,Produtos!$A$2:$A$11,0))</x:f>
        <x:v>Caderno Universitário</x:v>
      </x:c>
      <x:c r="G12" s="18" t="n">
        <x:v>3</x:v>
      </x:c>
      <x:c r="H12" s="17" t="n">
        <x:f>INDEX(Produtos!$D$2:$D$11,MATCH(E12,Produtos!$A$2:$A$11,0))</x:f>
        <x:v>24.9</x:v>
      </x:c>
      <x:c r="I12" s="17" t="n">
        <x:f>G12*H12</x:f>
        <x:v>74.69999999999999</x:v>
      </x:c>
      <x:c r="J12" s="14" t="str">
        <x:v>Cartão de crédito</x:v>
      </x:c>
      <x:c r="K12" s="14" t="str">
        <x:v>Entregue</x:v>
      </x:c>
      <x:c r="L12" s="15" t="str">
        <x:f>INDEX(Clientes!$F$2:$F$101,MATCH(C12,Clientes!$A$2:$A$101,0))</x:f>
        <x:v>SC</x:v>
      </x:c>
    </x:row>
    <x:row r="13" ht="20" customHeight="1">
      <x:c r="A13" s="13" t="str">
        <x:v>PED00012</x:v>
      </x:c>
      <x:c r="B13" s="19" t="n">
        <x:v>46095</x:v>
      </x:c>
      <x:c r="C13" s="14" t="str">
        <x:v>CLI0096</x:v>
      </x:c>
      <x:c r="D13" s="14" t="str">
        <x:f>INDEX(Clientes!$B$2:$B$101,MATCH(C13,Clientes!$A$2:$A$101,0))</x:f>
        <x:v>Bruno Farias Henrique</x:v>
      </x:c>
      <x:c r="E13" s="14" t="str">
        <x:v>PROD005</x:v>
      </x:c>
      <x:c r="F13" s="14" t="str">
        <x:f>INDEX(Produtos!$B$2:$B$11,MATCH(E13,Produtos!$A$2:$A$11,0))</x:f>
        <x:v>Luminária de Mesa LED</x:v>
      </x:c>
      <x:c r="G13" s="18" t="n">
        <x:v>1</x:v>
      </x:c>
      <x:c r="H13" s="17" t="n">
        <x:f>INDEX(Produtos!$D$2:$D$11,MATCH(E13,Produtos!$A$2:$A$11,0))</x:f>
        <x:v>89.5</x:v>
      </x:c>
      <x:c r="I13" s="17" t="n">
        <x:f>G13*H13</x:f>
        <x:v>89.5</x:v>
      </x:c>
      <x:c r="J13" s="14" t="str">
        <x:v>Boleto</x:v>
      </x:c>
      <x:c r="K13" s="14" t="str">
        <x:v>Processando</x:v>
      </x:c>
      <x:c r="L13" s="15" t="str">
        <x:f>INDEX(Clientes!$F$2:$F$101,MATCH(C13,Clientes!$A$2:$A$101,0))</x:f>
        <x:v>MG</x:v>
      </x:c>
    </x:row>
    <x:row r="14" ht="20" customHeight="1">
      <x:c r="A14" s="13" t="str">
        <x:v>PED00013</x:v>
      </x:c>
      <x:c r="B14" s="19" t="n">
        <x:v>46290</x:v>
      </x:c>
      <x:c r="C14" s="14" t="str">
        <x:v>CLI0022</x:v>
      </x:c>
      <x:c r="D14" s="14" t="str">
        <x:f>INDEX(Clientes!$B$2:$B$101,MATCH(C14,Clientes!$A$2:$A$101,0))</x:f>
        <x:v>Bruno Teixeira Souza</x:v>
      </x:c>
      <x:c r="E14" s="14" t="str">
        <x:v>PROD005</x:v>
      </x:c>
      <x:c r="F14" s="14" t="str">
        <x:f>INDEX(Produtos!$B$2:$B$11,MATCH(E14,Produtos!$A$2:$A$11,0))</x:f>
        <x:v>Luminária de Mesa LED</x:v>
      </x:c>
      <x:c r="G14" s="18" t="n">
        <x:v>7</x:v>
      </x:c>
      <x:c r="H14" s="17" t="n">
        <x:f>INDEX(Produtos!$D$2:$D$11,MATCH(E14,Produtos!$A$2:$A$11,0))</x:f>
        <x:v>89.5</x:v>
      </x:c>
      <x:c r="I14" s="17" t="n">
        <x:f>G14*H14</x:f>
        <x:v>626.5</x:v>
      </x:c>
      <x:c r="J14" s="14" t="str">
        <x:v>Cartão de crédito</x:v>
      </x:c>
      <x:c r="K14" s="14" t="str">
        <x:v>Entregue</x:v>
      </x:c>
      <x:c r="L14" s="15" t="str">
        <x:f>INDEX(Clientes!$F$2:$F$101,MATCH(C14,Clientes!$A$2:$A$101,0))</x:f>
        <x:v>SC</x:v>
      </x:c>
    </x:row>
    <x:row r="15" ht="20" customHeight="1">
      <x:c r="A15" s="13" t="str">
        <x:v>PED00014</x:v>
      </x:c>
      <x:c r="B15" s="19" t="n">
        <x:v>46218</x:v>
      </x:c>
      <x:c r="C15" s="14" t="str">
        <x:v>CLI0020</x:v>
      </x:c>
      <x:c r="D15" s="14" t="str">
        <x:f>INDEX(Clientes!$B$2:$B$101,MATCH(C15,Clientes!$A$2:$A$101,0))</x:f>
        <x:v>João Esteves Garcia</x:v>
      </x:c>
      <x:c r="E15" s="14" t="str">
        <x:v>PROD007</x:v>
      </x:c>
      <x:c r="F15" s="14" t="str">
        <x:f>INDEX(Produtos!$B$2:$B$11,MATCH(E15,Produtos!$A$2:$A$11,0))</x:f>
        <x:v>Caneca Cerâmica</x:v>
      </x:c>
      <x:c r="G15" s="18" t="n">
        <x:v>5</x:v>
      </x:c>
      <x:c r="H15" s="17" t="n">
        <x:f>INDEX(Produtos!$D$2:$D$11,MATCH(E15,Produtos!$A$2:$A$11,0))</x:f>
        <x:v>32</x:v>
      </x:c>
      <x:c r="I15" s="17" t="n">
        <x:f>G15*H15</x:f>
        <x:v>160</x:v>
      </x:c>
      <x:c r="J15" s="14" t="str">
        <x:v>Boleto</x:v>
      </x:c>
      <x:c r="K15" s="14" t="str">
        <x:v>Processando</x:v>
      </x:c>
      <x:c r="L15" s="15" t="str">
        <x:f>INDEX(Clientes!$F$2:$F$101,MATCH(C15,Clientes!$A$2:$A$101,0))</x:f>
        <x:v>MG</x:v>
      </x:c>
    </x:row>
    <x:row r="16" ht="20" customHeight="1">
      <x:c r="A16" s="13" t="str">
        <x:v>PED00015</x:v>
      </x:c>
      <x:c r="B16" s="19" t="n">
        <x:v>46212</x:v>
      </x:c>
      <x:c r="C16" s="14" t="str">
        <x:v>CLI0030</x:v>
      </x:c>
      <x:c r="D16" s="14" t="str">
        <x:f>INDEX(Clientes!$B$2:$B$101,MATCH(C16,Clientes!$A$2:$A$101,0))</x:f>
        <x:v>Henrique Gomes Batista</x:v>
      </x:c>
      <x:c r="E16" s="14" t="str">
        <x:v>PROD001</x:v>
      </x:c>
      <x:c r="F16" s="14" t="str">
        <x:f>INDEX(Produtos!$B$2:$B$11,MATCH(E16,Produtos!$A$2:$A$11,0))</x:f>
        <x:v>Caderno Universitário</x:v>
      </x:c>
      <x:c r="G16" s="18" t="n">
        <x:v>3</x:v>
      </x:c>
      <x:c r="H16" s="17" t="n">
        <x:f>INDEX(Produtos!$D$2:$D$11,MATCH(E16,Produtos!$A$2:$A$11,0))</x:f>
        <x:v>24.9</x:v>
      </x:c>
      <x:c r="I16" s="17" t="n">
        <x:f>G16*H16</x:f>
        <x:v>74.69999999999999</x:v>
      </x:c>
      <x:c r="J16" s="14" t="str">
        <x:v>Cartão de crédito</x:v>
      </x:c>
      <x:c r="K16" s="14" t="str">
        <x:v>Entregue</x:v>
      </x:c>
      <x:c r="L16" s="15" t="str">
        <x:f>INDEX(Clientes!$F$2:$F$101,MATCH(C16,Clientes!$A$2:$A$101,0))</x:f>
        <x:v>SP</x:v>
      </x:c>
    </x:row>
    <x:row r="17" ht="20" customHeight="1">
      <x:c r="A17" s="13" t="str">
        <x:v>PED00016</x:v>
      </x:c>
      <x:c r="B17" s="19" t="n">
        <x:v>46206</x:v>
      </x:c>
      <x:c r="C17" s="14" t="str">
        <x:v>CLI0048</x:v>
      </x:c>
      <x:c r="D17" s="14" t="str">
        <x:f>INDEX(Clientes!$B$2:$B$101,MATCH(C17,Clientes!$A$2:$A$101,0))</x:f>
        <x:v>Daniel Nascimento Barbosa</x:v>
      </x:c>
      <x:c r="E17" s="14" t="str">
        <x:v>PROD003</x:v>
      </x:c>
      <x:c r="F17" s="14" t="str">
        <x:f>INDEX(Produtos!$B$2:$B$11,MATCH(E17,Produtos!$A$2:$A$11,0))</x:f>
        <x:v>Fone Bluetooth</x:v>
      </x:c>
      <x:c r="G17" s="18" t="n">
        <x:v>1</x:v>
      </x:c>
      <x:c r="H17" s="17" t="n">
        <x:f>INDEX(Produtos!$D$2:$D$11,MATCH(E17,Produtos!$A$2:$A$11,0))</x:f>
        <x:v>129.9</x:v>
      </x:c>
      <x:c r="I17" s="17" t="n">
        <x:f>G17*H17</x:f>
        <x:v>129.9</x:v>
      </x:c>
      <x:c r="J17" s="14" t="str">
        <x:v>Boleto</x:v>
      </x:c>
      <x:c r="K17" s="14" t="str">
        <x:v>Processando</x:v>
      </x:c>
      <x:c r="L17" s="15" t="str">
        <x:f>INDEX(Clientes!$F$2:$F$101,MATCH(C17,Clientes!$A$2:$A$101,0))</x:f>
        <x:v>SP</x:v>
      </x:c>
    </x:row>
    <x:row r="18" ht="20" customHeight="1">
      <x:c r="A18" s="13" t="str">
        <x:v>PED00017</x:v>
      </x:c>
      <x:c r="B18" s="19" t="n">
        <x:v>46173</x:v>
      </x:c>
      <x:c r="C18" s="14" t="str">
        <x:v>CLI0030</x:v>
      </x:c>
      <x:c r="D18" s="14" t="str">
        <x:f>INDEX(Clientes!$B$2:$B$101,MATCH(C18,Clientes!$A$2:$A$101,0))</x:f>
        <x:v>Henrique Gomes Batista</x:v>
      </x:c>
      <x:c r="E18" s="14" t="str">
        <x:v>PROD001</x:v>
      </x:c>
      <x:c r="F18" s="14" t="str">
        <x:f>INDEX(Produtos!$B$2:$B$11,MATCH(E18,Produtos!$A$2:$A$11,0))</x:f>
        <x:v>Caderno Universitário</x:v>
      </x:c>
      <x:c r="G18" s="18" t="n">
        <x:v>7</x:v>
      </x:c>
      <x:c r="H18" s="17" t="n">
        <x:f>INDEX(Produtos!$D$2:$D$11,MATCH(E18,Produtos!$A$2:$A$11,0))</x:f>
        <x:v>24.9</x:v>
      </x:c>
      <x:c r="I18" s="17" t="n">
        <x:f>G18*H18</x:f>
        <x:v>174.29999999999998</x:v>
      </x:c>
      <x:c r="J18" s="14" t="str">
        <x:v>Cartão de crédito</x:v>
      </x:c>
      <x:c r="K18" s="14" t="str">
        <x:v>Entregue</x:v>
      </x:c>
      <x:c r="L18" s="15" t="str">
        <x:f>INDEX(Clientes!$F$2:$F$101,MATCH(C18,Clientes!$A$2:$A$101,0))</x:f>
        <x:v>SP</x:v>
      </x:c>
    </x:row>
    <x:row r="19" ht="20" customHeight="1">
      <x:c r="A19" s="13" t="str">
        <x:v>PED00018</x:v>
      </x:c>
      <x:c r="B19" s="19" t="n">
        <x:v>46067</x:v>
      </x:c>
      <x:c r="C19" s="14" t="str">
        <x:v>CLI0052</x:v>
      </x:c>
      <x:c r="D19" s="14" t="str">
        <x:f>INDEX(Clientes!$B$2:$B$101,MATCH(C19,Clientes!$A$2:$A$101,0))</x:f>
        <x:v>Caio Rocha Dias</x:v>
      </x:c>
      <x:c r="E19" s="14" t="str">
        <x:v>PROD001</x:v>
      </x:c>
      <x:c r="F19" s="14" t="str">
        <x:f>INDEX(Produtos!$B$2:$B$11,MATCH(E19,Produtos!$A$2:$A$11,0))</x:f>
        <x:v>Caderno Universitário</x:v>
      </x:c>
      <x:c r="G19" s="18" t="n">
        <x:v>5</x:v>
      </x:c>
      <x:c r="H19" s="17" t="n">
        <x:f>INDEX(Produtos!$D$2:$D$11,MATCH(E19,Produtos!$A$2:$A$11,0))</x:f>
        <x:v>24.9</x:v>
      </x:c>
      <x:c r="I19" s="17" t="n">
        <x:f>G19*H19</x:f>
        <x:v>124.5</x:v>
      </x:c>
      <x:c r="J19" s="14" t="str">
        <x:v>Boleto</x:v>
      </x:c>
      <x:c r="K19" s="14" t="str">
        <x:v>Processando</x:v>
      </x:c>
      <x:c r="L19" s="15" t="str">
        <x:f>INDEX(Clientes!$F$2:$F$101,MATCH(C19,Clientes!$A$2:$A$101,0))</x:f>
        <x:v>SP</x:v>
      </x:c>
    </x:row>
    <x:row r="20" ht="20" customHeight="1">
      <x:c r="A20" s="13" t="str">
        <x:v>PED00019</x:v>
      </x:c>
      <x:c r="B20" s="19" t="n">
        <x:v>46131</x:v>
      </x:c>
      <x:c r="C20" s="14" t="str">
        <x:v>CLI0062</x:v>
      </x:c>
      <x:c r="D20" s="14" t="str">
        <x:f>INDEX(Clientes!$B$2:$B$101,MATCH(C20,Clientes!$A$2:$A$101,0))</x:f>
        <x:v>Enzo Pereira Duarte</x:v>
      </x:c>
      <x:c r="E20" s="14" t="str">
        <x:v>PROD009</x:v>
      </x:c>
      <x:c r="F20" s="14" t="str">
        <x:f>INDEX(Produtos!$B$2:$B$11,MATCH(E20,Produtos!$A$2:$A$11,0))</x:f>
        <x:v>Carregador USB-C</x:v>
      </x:c>
      <x:c r="G20" s="18" t="n">
        <x:v>3</x:v>
      </x:c>
      <x:c r="H20" s="17" t="n">
        <x:f>INDEX(Produtos!$D$2:$D$11,MATCH(E20,Produtos!$A$2:$A$11,0))</x:f>
        <x:v>59.9</x:v>
      </x:c>
      <x:c r="I20" s="17" t="n">
        <x:f>G20*H20</x:f>
        <x:v>179.7</x:v>
      </x:c>
      <x:c r="J20" s="14" t="str">
        <x:v>Cartão de crédito</x:v>
      </x:c>
      <x:c r="K20" s="14" t="str">
        <x:v>Entregue</x:v>
      </x:c>
      <x:c r="L20" s="15" t="str">
        <x:f>INDEX(Clientes!$F$2:$F$101,MATCH(C20,Clientes!$A$2:$A$101,0))</x:f>
        <x:v>SC</x:v>
      </x:c>
    </x:row>
    <x:row r="21" ht="20" customHeight="1">
      <x:c r="A21" s="13" t="str">
        <x:v>PED00020</x:v>
      </x:c>
      <x:c r="B21" s="19" t="n">
        <x:v>46288</x:v>
      </x:c>
      <x:c r="C21" s="14" t="str">
        <x:v>CLI0088</x:v>
      </x:c>
      <x:c r="D21" s="14" t="str">
        <x:f>INDEX(Clientes!$B$2:$B$101,MATCH(C21,Clientes!$A$2:$A$101,0))</x:f>
        <x:v>Samuel Rocha Ferreira</x:v>
      </x:c>
      <x:c r="E21" s="14" t="str">
        <x:v>PROD001</x:v>
      </x:c>
      <x:c r="F21" s="14" t="str">
        <x:f>INDEX(Produtos!$B$2:$B$11,MATCH(E21,Produtos!$A$2:$A$11,0))</x:f>
        <x:v>Caderno Universitário</x:v>
      </x:c>
      <x:c r="G21" s="18" t="n">
        <x:v>1</x:v>
      </x:c>
      <x:c r="H21" s="17" t="n">
        <x:f>INDEX(Produtos!$D$2:$D$11,MATCH(E21,Produtos!$A$2:$A$11,0))</x:f>
        <x:v>24.9</x:v>
      </x:c>
      <x:c r="I21" s="17" t="n">
        <x:f>G21*H21</x:f>
        <x:v>24.9</x:v>
      </x:c>
      <x:c r="J21" s="14" t="str">
        <x:v>Boleto</x:v>
      </x:c>
      <x:c r="K21" s="14" t="str">
        <x:v>Processando</x:v>
      </x:c>
      <x:c r="L21" s="15" t="str">
        <x:f>INDEX(Clientes!$F$2:$F$101,MATCH(C21,Clientes!$A$2:$A$101,0))</x:f>
        <x:v>MG</x:v>
      </x:c>
    </x:row>
    <x:row r="22" ht="20" customHeight="1">
      <x:c r="A22" s="13" t="str">
        <x:v>PED00021</x:v>
      </x:c>
      <x:c r="B22" s="19" t="n">
        <x:v>46268</x:v>
      </x:c>
      <x:c r="C22" s="14" t="str">
        <x:v>CLI0018</x:v>
      </x:c>
      <x:c r="D22" s="14" t="str">
        <x:f>INDEX(Clientes!$B$2:$B$101,MATCH(C22,Clientes!$A$2:$A$101,0))</x:f>
        <x:v>Bruno Cardoso Dias</x:v>
      </x:c>
      <x:c r="E22" s="14" t="str">
        <x:v>PROD007</x:v>
      </x:c>
      <x:c r="F22" s="14" t="str">
        <x:f>INDEX(Produtos!$B$2:$B$11,MATCH(E22,Produtos!$A$2:$A$11,0))</x:f>
        <x:v>Caneca Cerâmica</x:v>
      </x:c>
      <x:c r="G22" s="18" t="n">
        <x:v>7</x:v>
      </x:c>
      <x:c r="H22" s="17" t="n">
        <x:f>INDEX(Produtos!$D$2:$D$11,MATCH(E22,Produtos!$A$2:$A$11,0))</x:f>
        <x:v>32</x:v>
      </x:c>
      <x:c r="I22" s="17" t="n">
        <x:f>G22*H22</x:f>
        <x:v>224</x:v>
      </x:c>
      <x:c r="J22" s="14" t="str">
        <x:v>Cartão de crédito</x:v>
      </x:c>
      <x:c r="K22" s="14" t="str">
        <x:v>Entregue</x:v>
      </x:c>
      <x:c r="L22" s="15" t="str">
        <x:f>INDEX(Clientes!$F$2:$F$101,MATCH(C22,Clientes!$A$2:$A$101,0))</x:f>
        <x:v>BA</x:v>
      </x:c>
    </x:row>
    <x:row r="23" ht="20" customHeight="1">
      <x:c r="A23" s="13" t="str">
        <x:v>PED00022</x:v>
      </x:c>
      <x:c r="B23" s="19" t="n">
        <x:v>46095</x:v>
      </x:c>
      <x:c r="C23" s="14" t="str">
        <x:v>CLI0024</x:v>
      </x:c>
      <x:c r="D23" s="14" t="str">
        <x:f>INDEX(Clientes!$B$2:$B$101,MATCH(C23,Clientes!$A$2:$A$101,0))</x:f>
        <x:v>João Cardoso Duarte</x:v>
      </x:c>
      <x:c r="E23" s="14" t="str">
        <x:v>PROD005</x:v>
      </x:c>
      <x:c r="F23" s="14" t="str">
        <x:f>INDEX(Produtos!$B$2:$B$11,MATCH(E23,Produtos!$A$2:$A$11,0))</x:f>
        <x:v>Luminária de Mesa LED</x:v>
      </x:c>
      <x:c r="G23" s="18" t="n">
        <x:v>5</x:v>
      </x:c>
      <x:c r="H23" s="17" t="n">
        <x:f>INDEX(Produtos!$D$2:$D$11,MATCH(E23,Produtos!$A$2:$A$11,0))</x:f>
        <x:v>89.5</x:v>
      </x:c>
      <x:c r="I23" s="17" t="n">
        <x:f>G23*H23</x:f>
        <x:v>447.5</x:v>
      </x:c>
      <x:c r="J23" s="14" t="str">
        <x:v>Boleto</x:v>
      </x:c>
      <x:c r="K23" s="14" t="str">
        <x:v>Processando</x:v>
      </x:c>
      <x:c r="L23" s="15" t="str">
        <x:f>INDEX(Clientes!$F$2:$F$101,MATCH(C23,Clientes!$A$2:$A$101,0))</x:f>
        <x:v>SP</x:v>
      </x:c>
    </x:row>
    <x:row r="24" ht="20" customHeight="1">
      <x:c r="A24" s="13" t="str">
        <x:v>PED00023</x:v>
      </x:c>
      <x:c r="B24" s="19" t="n">
        <x:v>46157</x:v>
      </x:c>
      <x:c r="C24" s="14" t="str">
        <x:v>CLI0094</x:v>
      </x:c>
      <x:c r="D24" s="14" t="str">
        <x:f>INDEX(Clientes!$B$2:$B$101,MATCH(C24,Clientes!$A$2:$A$101,0))</x:f>
        <x:v>Daniel Pereira Henrique</x:v>
      </x:c>
      <x:c r="E24" s="14" t="str">
        <x:v>PROD009</x:v>
      </x:c>
      <x:c r="F24" s="14" t="str">
        <x:f>INDEX(Produtos!$B$2:$B$11,MATCH(E24,Produtos!$A$2:$A$11,0))</x:f>
        <x:v>Carregador USB-C</x:v>
      </x:c>
      <x:c r="G24" s="18" t="n">
        <x:v>3</x:v>
      </x:c>
      <x:c r="H24" s="17" t="n">
        <x:f>INDEX(Produtos!$D$2:$D$11,MATCH(E24,Produtos!$A$2:$A$11,0))</x:f>
        <x:v>59.9</x:v>
      </x:c>
      <x:c r="I24" s="17" t="n">
        <x:f>G24*H24</x:f>
        <x:v>179.7</x:v>
      </x:c>
      <x:c r="J24" s="14" t="str">
        <x:v>Cartão de crédito</x:v>
      </x:c>
      <x:c r="K24" s="14" t="str">
        <x:v>Entregue</x:v>
      </x:c>
      <x:c r="L24" s="15" t="str">
        <x:f>INDEX(Clientes!$F$2:$F$101,MATCH(C24,Clientes!$A$2:$A$101,0))</x:f>
        <x:v>PR</x:v>
      </x:c>
    </x:row>
    <x:row r="25" ht="20" customHeight="1">
      <x:c r="A25" s="13" t="str">
        <x:v>PED00024</x:v>
      </x:c>
      <x:c r="B25" s="19" t="n">
        <x:v>46146</x:v>
      </x:c>
      <x:c r="C25" s="14" t="str">
        <x:v>CLI0032</x:v>
      </x:c>
      <x:c r="D25" s="14" t="str">
        <x:f>INDEX(Clientes!$B$2:$B$101,MATCH(C25,Clientes!$A$2:$A$101,0))</x:f>
        <x:v>Leonardo Lima Oliveira</x:v>
      </x:c>
      <x:c r="E25" s="14" t="str">
        <x:v>PROD003</x:v>
      </x:c>
      <x:c r="F25" s="14" t="str">
        <x:f>INDEX(Produtos!$B$2:$B$11,MATCH(E25,Produtos!$A$2:$A$11,0))</x:f>
        <x:v>Fone Bluetooth</x:v>
      </x:c>
      <x:c r="G25" s="18" t="n">
        <x:v>1</x:v>
      </x:c>
      <x:c r="H25" s="17" t="n">
        <x:f>INDEX(Produtos!$D$2:$D$11,MATCH(E25,Produtos!$A$2:$A$11,0))</x:f>
        <x:v>129.9</x:v>
      </x:c>
      <x:c r="I25" s="17" t="n">
        <x:f>G25*H25</x:f>
        <x:v>129.9</x:v>
      </x:c>
      <x:c r="J25" s="14" t="str">
        <x:v>Boleto</x:v>
      </x:c>
      <x:c r="K25" s="14" t="str">
        <x:v>Processando</x:v>
      </x:c>
      <x:c r="L25" s="15" t="str">
        <x:f>INDEX(Clientes!$F$2:$F$101,MATCH(C25,Clientes!$A$2:$A$101,0))</x:f>
        <x:v>PR</x:v>
      </x:c>
    </x:row>
    <x:row r="26" ht="20" customHeight="1">
      <x:c r="A26" s="13" t="str">
        <x:v>PED00025</x:v>
      </x:c>
      <x:c r="B26" s="19" t="n">
        <x:v>46243</x:v>
      </x:c>
      <x:c r="C26" s="14" t="str">
        <x:v>CLI0082</x:v>
      </x:c>
      <x:c r="D26" s="14" t="str">
        <x:f>INDEX(Clientes!$B$2:$B$101,MATCH(C26,Clientes!$A$2:$A$101,0))</x:f>
        <x:v>Bruno Esteves Barbosa</x:v>
      </x:c>
      <x:c r="E26" s="14" t="str">
        <x:v>PROD009</x:v>
      </x:c>
      <x:c r="F26" s="14" t="str">
        <x:f>INDEX(Produtos!$B$2:$B$11,MATCH(E26,Produtos!$A$2:$A$11,0))</x:f>
        <x:v>Carregador USB-C</x:v>
      </x:c>
      <x:c r="G26" s="18" t="n">
        <x:v>7</x:v>
      </x:c>
      <x:c r="H26" s="17" t="n">
        <x:f>INDEX(Produtos!$D$2:$D$11,MATCH(E26,Produtos!$A$2:$A$11,0))</x:f>
        <x:v>59.9</x:v>
      </x:c>
      <x:c r="I26" s="17" t="n">
        <x:f>G26*H26</x:f>
        <x:v>419.3</x:v>
      </x:c>
      <x:c r="J26" s="14" t="str">
        <x:v>Cartão de crédito</x:v>
      </x:c>
      <x:c r="K26" s="14" t="str">
        <x:v>Entregue</x:v>
      </x:c>
      <x:c r="L26" s="15" t="str">
        <x:f>INDEX(Clientes!$F$2:$F$101,MATCH(C26,Clientes!$A$2:$A$101,0))</x:f>
        <x:v>SC</x:v>
      </x:c>
    </x:row>
    <x:row r="27" ht="20" customHeight="1">
      <x:c r="A27" s="13" t="str">
        <x:v>PED00026</x:v>
      </x:c>
      <x:c r="B27" s="19" t="n">
        <x:v>46197</x:v>
      </x:c>
      <x:c r="C27" s="14" t="str">
        <x:v>CLI0096</x:v>
      </x:c>
      <x:c r="D27" s="14" t="str">
        <x:f>INDEX(Clientes!$B$2:$B$101,MATCH(C27,Clientes!$A$2:$A$101,0))</x:f>
        <x:v>Bruno Farias Henrique</x:v>
      </x:c>
      <x:c r="E27" s="14" t="str">
        <x:v>PROD003</x:v>
      </x:c>
      <x:c r="F27" s="14" t="str">
        <x:f>INDEX(Produtos!$B$2:$B$11,MATCH(E27,Produtos!$A$2:$A$11,0))</x:f>
        <x:v>Fone Bluetooth</x:v>
      </x:c>
      <x:c r="G27" s="18" t="n">
        <x:v>5</x:v>
      </x:c>
      <x:c r="H27" s="17" t="n">
        <x:f>INDEX(Produtos!$D$2:$D$11,MATCH(E27,Produtos!$A$2:$A$11,0))</x:f>
        <x:v>129.9</x:v>
      </x:c>
      <x:c r="I27" s="17" t="n">
        <x:f>G27*H27</x:f>
        <x:v>649.5</x:v>
      </x:c>
      <x:c r="J27" s="14" t="str">
        <x:v>Boleto</x:v>
      </x:c>
      <x:c r="K27" s="14" t="str">
        <x:v>Processando</x:v>
      </x:c>
      <x:c r="L27" s="15" t="str">
        <x:f>INDEX(Clientes!$F$2:$F$101,MATCH(C27,Clientes!$A$2:$A$101,0))</x:f>
        <x:v>MG</x:v>
      </x:c>
    </x:row>
    <x:row r="28" ht="20" customHeight="1">
      <x:c r="A28" s="13" t="str">
        <x:v>PED00027</x:v>
      </x:c>
      <x:c r="B28" s="19" t="n">
        <x:v>46229</x:v>
      </x:c>
      <x:c r="C28" s="14" t="str">
        <x:v>CLI0074</x:v>
      </x:c>
      <x:c r="D28" s="14" t="str">
        <x:f>INDEX(Clientes!$B$2:$B$101,MATCH(C28,Clientes!$A$2:$A$101,0))</x:f>
        <x:v>Pedro Costa Mendes</x:v>
      </x:c>
      <x:c r="E28" s="14" t="str">
        <x:v>PROD005</x:v>
      </x:c>
      <x:c r="F28" s="14" t="str">
        <x:f>INDEX(Produtos!$B$2:$B$11,MATCH(E28,Produtos!$A$2:$A$11,0))</x:f>
        <x:v>Luminária de Mesa LED</x:v>
      </x:c>
      <x:c r="G28" s="18" t="n">
        <x:v>3</x:v>
      </x:c>
      <x:c r="H28" s="17" t="n">
        <x:f>INDEX(Produtos!$D$2:$D$11,MATCH(E28,Produtos!$A$2:$A$11,0))</x:f>
        <x:v>89.5</x:v>
      </x:c>
      <x:c r="I28" s="17" t="n">
        <x:f>G28*H28</x:f>
        <x:v>268.5</x:v>
      </x:c>
      <x:c r="J28" s="14" t="str">
        <x:v>Cartão de crédito</x:v>
      </x:c>
      <x:c r="K28" s="14" t="str">
        <x:v>Entregue</x:v>
      </x:c>
      <x:c r="L28" s="15" t="str">
        <x:f>INDEX(Clientes!$F$2:$F$101,MATCH(C28,Clientes!$A$2:$A$101,0))</x:f>
        <x:v>MG</x:v>
      </x:c>
    </x:row>
    <x:row r="29" ht="20" customHeight="1">
      <x:c r="A29" s="13" t="str">
        <x:v>PED00028</x:v>
      </x:c>
      <x:c r="B29" s="19" t="n">
        <x:v>46176</x:v>
      </x:c>
      <x:c r="C29" s="14" t="str">
        <x:v>CLI0040</x:v>
      </x:c>
      <x:c r="D29" s="14" t="str">
        <x:f>INDEX(Clientes!$B$2:$B$101,MATCH(C29,Clientes!$A$2:$A$101,0))</x:f>
        <x:v>Vinícius Andrade Vargas</x:v>
      </x:c>
      <x:c r="E29" s="14" t="str">
        <x:v>PROD005</x:v>
      </x:c>
      <x:c r="F29" s="14" t="str">
        <x:f>INDEX(Produtos!$B$2:$B$11,MATCH(E29,Produtos!$A$2:$A$11,0))</x:f>
        <x:v>Luminária de Mesa LED</x:v>
      </x:c>
      <x:c r="G29" s="18" t="n">
        <x:v>1</x:v>
      </x:c>
      <x:c r="H29" s="17" t="n">
        <x:f>INDEX(Produtos!$D$2:$D$11,MATCH(E29,Produtos!$A$2:$A$11,0))</x:f>
        <x:v>89.5</x:v>
      </x:c>
      <x:c r="I29" s="17" t="n">
        <x:f>G29*H29</x:f>
        <x:v>89.5</x:v>
      </x:c>
      <x:c r="J29" s="14" t="str">
        <x:v>Boleto</x:v>
      </x:c>
      <x:c r="K29" s="14" t="str">
        <x:v>Processando</x:v>
      </x:c>
      <x:c r="L29" s="15" t="str">
        <x:f>INDEX(Clientes!$F$2:$F$101,MATCH(C29,Clientes!$A$2:$A$101,0))</x:f>
        <x:v>PR</x:v>
      </x:c>
    </x:row>
    <x:row r="30" ht="20" customHeight="1">
      <x:c r="A30" s="13" t="str">
        <x:v>PED00029</x:v>
      </x:c>
      <x:c r="B30" s="19" t="n">
        <x:v>46231</x:v>
      </x:c>
      <x:c r="C30" s="14" t="str">
        <x:v>CLI0070</x:v>
      </x:c>
      <x:c r="D30" s="14" t="str">
        <x:f>INDEX(Clientes!$B$2:$B$101,MATCH(C30,Clientes!$A$2:$A$101,0))</x:f>
        <x:v>Bruno Rocha Barbosa</x:v>
      </x:c>
      <x:c r="E30" s="14" t="str">
        <x:v>PROD003</x:v>
      </x:c>
      <x:c r="F30" s="14" t="str">
        <x:f>INDEX(Produtos!$B$2:$B$11,MATCH(E30,Produtos!$A$2:$A$11,0))</x:f>
        <x:v>Fone Bluetooth</x:v>
      </x:c>
      <x:c r="G30" s="18" t="n">
        <x:v>7</x:v>
      </x:c>
      <x:c r="H30" s="17" t="n">
        <x:f>INDEX(Produtos!$D$2:$D$11,MATCH(E30,Produtos!$A$2:$A$11,0))</x:f>
        <x:v>129.9</x:v>
      </x:c>
      <x:c r="I30" s="17" t="n">
        <x:f>G30*H30</x:f>
        <x:v>909.3000000000001</x:v>
      </x:c>
      <x:c r="J30" s="14" t="str">
        <x:v>Cartão de crédito</x:v>
      </x:c>
      <x:c r="K30" s="14" t="str">
        <x:v>Entregue</x:v>
      </x:c>
      <x:c r="L30" s="15" t="str">
        <x:f>INDEX(Clientes!$F$2:$F$101,MATCH(C30,Clientes!$A$2:$A$101,0))</x:f>
        <x:v>SC</x:v>
      </x:c>
    </x:row>
    <x:row r="31" ht="20" customHeight="1">
      <x:c r="A31" s="13" t="str">
        <x:v>PED00030</x:v>
      </x:c>
      <x:c r="B31" s="19" t="n">
        <x:v>46281</x:v>
      </x:c>
      <x:c r="C31" s="14" t="str">
        <x:v>CLI0088</x:v>
      </x:c>
      <x:c r="D31" s="14" t="str">
        <x:f>INDEX(Clientes!$B$2:$B$101,MATCH(C31,Clientes!$A$2:$A$101,0))</x:f>
        <x:v>Samuel Rocha Ferreira</x:v>
      </x:c>
      <x:c r="E31" s="14" t="str">
        <x:v>PROD003</x:v>
      </x:c>
      <x:c r="F31" s="14" t="str">
        <x:f>INDEX(Produtos!$B$2:$B$11,MATCH(E31,Produtos!$A$2:$A$11,0))</x:f>
        <x:v>Fone Bluetooth</x:v>
      </x:c>
      <x:c r="G31" s="18" t="n">
        <x:v>5</x:v>
      </x:c>
      <x:c r="H31" s="17" t="n">
        <x:f>INDEX(Produtos!$D$2:$D$11,MATCH(E31,Produtos!$A$2:$A$11,0))</x:f>
        <x:v>129.9</x:v>
      </x:c>
      <x:c r="I31" s="17" t="n">
        <x:f>G31*H31</x:f>
        <x:v>649.5</x:v>
      </x:c>
      <x:c r="J31" s="14" t="str">
        <x:v>Boleto</x:v>
      </x:c>
      <x:c r="K31" s="14" t="str">
        <x:v>Processando</x:v>
      </x:c>
      <x:c r="L31" s="15" t="str">
        <x:f>INDEX(Clientes!$F$2:$F$101,MATCH(C31,Clientes!$A$2:$A$101,0))</x:f>
        <x:v>MG</x:v>
      </x:c>
    </x:row>
    <x:row r="32" ht="20" customHeight="1">
      <x:c r="A32" s="13" t="str">
        <x:v>PED00031</x:v>
      </x:c>
      <x:c r="B32" s="19" t="n">
        <x:v>46290</x:v>
      </x:c>
      <x:c r="C32" s="14" t="str">
        <x:v>CLI0078</x:v>
      </x:c>
      <x:c r="D32" s="14" t="str">
        <x:f>INDEX(Clientes!$B$2:$B$101,MATCH(C32,Clientes!$A$2:$A$101,0))</x:f>
        <x:v>Lucas Gomes Queiroz</x:v>
      </x:c>
      <x:c r="E32" s="14" t="str">
        <x:v>PROD009</x:v>
      </x:c>
      <x:c r="F32" s="14" t="str">
        <x:f>INDEX(Produtos!$B$2:$B$11,MATCH(E32,Produtos!$A$2:$A$11,0))</x:f>
        <x:v>Carregador USB-C</x:v>
      </x:c>
      <x:c r="G32" s="18" t="n">
        <x:v>3</x:v>
      </x:c>
      <x:c r="H32" s="17" t="n">
        <x:f>INDEX(Produtos!$D$2:$D$11,MATCH(E32,Produtos!$A$2:$A$11,0))</x:f>
        <x:v>59.9</x:v>
      </x:c>
      <x:c r="I32" s="17" t="n">
        <x:f>G32*H32</x:f>
        <x:v>179.7</x:v>
      </x:c>
      <x:c r="J32" s="14" t="str">
        <x:v>Cartão de crédito</x:v>
      </x:c>
      <x:c r="K32" s="14" t="str">
        <x:v>Entregue</x:v>
      </x:c>
      <x:c r="L32" s="15" t="str">
        <x:f>INDEX(Clientes!$F$2:$F$101,MATCH(C32,Clientes!$A$2:$A$101,0))</x:f>
        <x:v>SP</x:v>
      </x:c>
    </x:row>
    <x:row r="33" ht="20" customHeight="1">
      <x:c r="A33" s="13" t="str">
        <x:v>PED00032</x:v>
      </x:c>
      <x:c r="B33" s="19" t="n">
        <x:v>46252</x:v>
      </x:c>
      <x:c r="C33" s="14" t="str">
        <x:v>CLI0100</x:v>
      </x:c>
      <x:c r="D33" s="14" t="str">
        <x:f>INDEX(Clientes!$B$2:$B$101,MATCH(C33,Clientes!$A$2:$A$101,0))</x:f>
        <x:v>Igor Ramos Silva</x:v>
      </x:c>
      <x:c r="E33" s="14" t="str">
        <x:v>PROD003</x:v>
      </x:c>
      <x:c r="F33" s="14" t="str">
        <x:f>INDEX(Produtos!$B$2:$B$11,MATCH(E33,Produtos!$A$2:$A$11,0))</x:f>
        <x:v>Fone Bluetooth</x:v>
      </x:c>
      <x:c r="G33" s="18" t="n">
        <x:v>1</x:v>
      </x:c>
      <x:c r="H33" s="17" t="n">
        <x:f>INDEX(Produtos!$D$2:$D$11,MATCH(E33,Produtos!$A$2:$A$11,0))</x:f>
        <x:v>129.9</x:v>
      </x:c>
      <x:c r="I33" s="17" t="n">
        <x:f>G33*H33</x:f>
        <x:v>129.9</x:v>
      </x:c>
      <x:c r="J33" s="14" t="str">
        <x:v>Boleto</x:v>
      </x:c>
      <x:c r="K33" s="14" t="str">
        <x:v>Processando</x:v>
      </x:c>
      <x:c r="L33" s="15" t="str">
        <x:f>INDEX(Clientes!$F$2:$F$101,MATCH(C33,Clientes!$A$2:$A$101,0))</x:f>
        <x:v>SP</x:v>
      </x:c>
    </x:row>
    <x:row r="34" ht="20" customHeight="1">
      <x:c r="A34" s="13" t="str">
        <x:v>PED00033</x:v>
      </x:c>
      <x:c r="B34" s="19" t="n">
        <x:v>46140</x:v>
      </x:c>
      <x:c r="C34" s="14" t="str">
        <x:v>CLI0082</x:v>
      </x:c>
      <x:c r="D34" s="14" t="str">
        <x:f>INDEX(Clientes!$B$2:$B$101,MATCH(C34,Clientes!$A$2:$A$101,0))</x:f>
        <x:v>Bruno Esteves Barbosa</x:v>
      </x:c>
      <x:c r="E34" s="14" t="str">
        <x:v>PROD003</x:v>
      </x:c>
      <x:c r="F34" s="14" t="str">
        <x:f>INDEX(Produtos!$B$2:$B$11,MATCH(E34,Produtos!$A$2:$A$11,0))</x:f>
        <x:v>Fone Bluetooth</x:v>
      </x:c>
      <x:c r="G34" s="18" t="n">
        <x:v>7</x:v>
      </x:c>
      <x:c r="H34" s="17" t="n">
        <x:f>INDEX(Produtos!$D$2:$D$11,MATCH(E34,Produtos!$A$2:$A$11,0))</x:f>
        <x:v>129.9</x:v>
      </x:c>
      <x:c r="I34" s="17" t="n">
        <x:f>G34*H34</x:f>
        <x:v>909.3000000000001</x:v>
      </x:c>
      <x:c r="J34" s="14" t="str">
        <x:v>Cartão de crédito</x:v>
      </x:c>
      <x:c r="K34" s="14" t="str">
        <x:v>Entregue</x:v>
      </x:c>
      <x:c r="L34" s="15" t="str">
        <x:f>INDEX(Clientes!$F$2:$F$101,MATCH(C34,Clientes!$A$2:$A$101,0))</x:f>
        <x:v>SC</x:v>
      </x:c>
    </x:row>
    <x:row r="35" ht="20" customHeight="1">
      <x:c r="A35" s="13" t="str">
        <x:v>PED00034</x:v>
      </x:c>
      <x:c r="B35" s="19" t="n">
        <x:v>46217</x:v>
      </x:c>
      <x:c r="C35" s="14" t="str">
        <x:v>CLI0064</x:v>
      </x:c>
      <x:c r="D35" s="14" t="str">
        <x:f>INDEX(Clientes!$B$2:$B$101,MATCH(C35,Clientes!$A$2:$A$101,0))</x:f>
        <x:v>Leonardo Ibrahim Machado</x:v>
      </x:c>
      <x:c r="E35" s="14" t="str">
        <x:v>PROD001</x:v>
      </x:c>
      <x:c r="F35" s="14" t="str">
        <x:f>INDEX(Produtos!$B$2:$B$11,MATCH(E35,Produtos!$A$2:$A$11,0))</x:f>
        <x:v>Caderno Universitário</x:v>
      </x:c>
      <x:c r="G35" s="18" t="n">
        <x:v>5</x:v>
      </x:c>
      <x:c r="H35" s="17" t="n">
        <x:f>INDEX(Produtos!$D$2:$D$11,MATCH(E35,Produtos!$A$2:$A$11,0))</x:f>
        <x:v>24.9</x:v>
      </x:c>
      <x:c r="I35" s="17" t="n">
        <x:f>G35*H35</x:f>
        <x:v>124.5</x:v>
      </x:c>
      <x:c r="J35" s="14" t="str">
        <x:v>Boleto</x:v>
      </x:c>
      <x:c r="K35" s="14" t="str">
        <x:v>Processando</x:v>
      </x:c>
      <x:c r="L35" s="15" t="str">
        <x:f>INDEX(Clientes!$F$2:$F$101,MATCH(C35,Clientes!$A$2:$A$101,0))</x:f>
        <x:v>SP</x:v>
      </x:c>
    </x:row>
    <x:row r="36" ht="20" customHeight="1">
      <x:c r="A36" s="13" t="str">
        <x:v>PED00035</x:v>
      </x:c>
      <x:c r="B36" s="19" t="n">
        <x:v>46236</x:v>
      </x:c>
      <x:c r="C36" s="14" t="str">
        <x:v>CLI0022</x:v>
      </x:c>
      <x:c r="D36" s="14" t="str">
        <x:f>INDEX(Clientes!$B$2:$B$101,MATCH(C36,Clientes!$A$2:$A$101,0))</x:f>
        <x:v>Bruno Teixeira Souza</x:v>
      </x:c>
      <x:c r="E36" s="14" t="str">
        <x:v>PROD007</x:v>
      </x:c>
      <x:c r="F36" s="14" t="str">
        <x:f>INDEX(Produtos!$B$2:$B$11,MATCH(E36,Produtos!$A$2:$A$11,0))</x:f>
        <x:v>Caneca Cerâmica</x:v>
      </x:c>
      <x:c r="G36" s="18" t="n">
        <x:v>3</x:v>
      </x:c>
      <x:c r="H36" s="17" t="n">
        <x:f>INDEX(Produtos!$D$2:$D$11,MATCH(E36,Produtos!$A$2:$A$11,0))</x:f>
        <x:v>32</x:v>
      </x:c>
      <x:c r="I36" s="17" t="n">
        <x:f>G36*H36</x:f>
        <x:v>96</x:v>
      </x:c>
      <x:c r="J36" s="14" t="str">
        <x:v>Cartão de crédito</x:v>
      </x:c>
      <x:c r="K36" s="14" t="str">
        <x:v>Entregue</x:v>
      </x:c>
      <x:c r="L36" s="15" t="str">
        <x:f>INDEX(Clientes!$F$2:$F$101,MATCH(C36,Clientes!$A$2:$A$101,0))</x:f>
        <x:v>SC</x:v>
      </x:c>
    </x:row>
    <x:row r="37" ht="20" customHeight="1">
      <x:c r="A37" s="13" t="str">
        <x:v>PED00036</x:v>
      </x:c>
      <x:c r="B37" s="19" t="n">
        <x:v>46079</x:v>
      </x:c>
      <x:c r="C37" s="14" t="str">
        <x:v>CLI0100</x:v>
      </x:c>
      <x:c r="D37" s="14" t="str">
        <x:f>INDEX(Clientes!$B$2:$B$101,MATCH(C37,Clientes!$A$2:$A$101,0))</x:f>
        <x:v>Igor Ramos Silva</x:v>
      </x:c>
      <x:c r="E37" s="14" t="str">
        <x:v>PROD001</x:v>
      </x:c>
      <x:c r="F37" s="14" t="str">
        <x:f>INDEX(Produtos!$B$2:$B$11,MATCH(E37,Produtos!$A$2:$A$11,0))</x:f>
        <x:v>Caderno Universitário</x:v>
      </x:c>
      <x:c r="G37" s="18" t="n">
        <x:v>1</x:v>
      </x:c>
      <x:c r="H37" s="17" t="n">
        <x:f>INDEX(Produtos!$D$2:$D$11,MATCH(E37,Produtos!$A$2:$A$11,0))</x:f>
        <x:v>24.9</x:v>
      </x:c>
      <x:c r="I37" s="17" t="n">
        <x:f>G37*H37</x:f>
        <x:v>24.9</x:v>
      </x:c>
      <x:c r="J37" s="14" t="str">
        <x:v>Boleto</x:v>
      </x:c>
      <x:c r="K37" s="14" t="str">
        <x:v>Processando</x:v>
      </x:c>
      <x:c r="L37" s="15" t="str">
        <x:f>INDEX(Clientes!$F$2:$F$101,MATCH(C37,Clientes!$A$2:$A$101,0))</x:f>
        <x:v>SP</x:v>
      </x:c>
    </x:row>
    <x:row r="38" ht="20" customHeight="1">
      <x:c r="A38" s="13" t="str">
        <x:v>PED00037</x:v>
      </x:c>
      <x:c r="B38" s="19" t="n">
        <x:v>46182</x:v>
      </x:c>
      <x:c r="C38" s="14" t="str">
        <x:v>CLI0062</x:v>
      </x:c>
      <x:c r="D38" s="14" t="str">
        <x:f>INDEX(Clientes!$B$2:$B$101,MATCH(C38,Clientes!$A$2:$A$101,0))</x:f>
        <x:v>Enzo Pereira Duarte</x:v>
      </x:c>
      <x:c r="E38" s="14" t="str">
        <x:v>PROD003</x:v>
      </x:c>
      <x:c r="F38" s="14" t="str">
        <x:f>INDEX(Produtos!$B$2:$B$11,MATCH(E38,Produtos!$A$2:$A$11,0))</x:f>
        <x:v>Fone Bluetooth</x:v>
      </x:c>
      <x:c r="G38" s="18" t="n">
        <x:v>7</x:v>
      </x:c>
      <x:c r="H38" s="17" t="n">
        <x:f>INDEX(Produtos!$D$2:$D$11,MATCH(E38,Produtos!$A$2:$A$11,0))</x:f>
        <x:v>129.9</x:v>
      </x:c>
      <x:c r="I38" s="17" t="n">
        <x:f>G38*H38</x:f>
        <x:v>909.3000000000001</x:v>
      </x:c>
      <x:c r="J38" s="14" t="str">
        <x:v>Cartão de crédito</x:v>
      </x:c>
      <x:c r="K38" s="14" t="str">
        <x:v>Entregue</x:v>
      </x:c>
      <x:c r="L38" s="15" t="str">
        <x:f>INDEX(Clientes!$F$2:$F$101,MATCH(C38,Clientes!$A$2:$A$101,0))</x:f>
        <x:v>SC</x:v>
      </x:c>
    </x:row>
    <x:row r="39" ht="20" customHeight="1">
      <x:c r="A39" s="13" t="str">
        <x:v>PED00038</x:v>
      </x:c>
      <x:c r="B39" s="19" t="n">
        <x:v>46074</x:v>
      </x:c>
      <x:c r="C39" s="14" t="str">
        <x:v>CLI0052</x:v>
      </x:c>
      <x:c r="D39" s="14" t="str">
        <x:f>INDEX(Clientes!$B$2:$B$101,MATCH(C39,Clientes!$A$2:$A$101,0))</x:f>
        <x:v>Caio Rocha Dias</x:v>
      </x:c>
      <x:c r="E39" s="14" t="str">
        <x:v>PROD003</x:v>
      </x:c>
      <x:c r="F39" s="14" t="str">
        <x:f>INDEX(Produtos!$B$2:$B$11,MATCH(E39,Produtos!$A$2:$A$11,0))</x:f>
        <x:v>Fone Bluetooth</x:v>
      </x:c>
      <x:c r="G39" s="18" t="n">
        <x:v>5</x:v>
      </x:c>
      <x:c r="H39" s="17" t="n">
        <x:f>INDEX(Produtos!$D$2:$D$11,MATCH(E39,Produtos!$A$2:$A$11,0))</x:f>
        <x:v>129.9</x:v>
      </x:c>
      <x:c r="I39" s="17" t="n">
        <x:f>G39*H39</x:f>
        <x:v>649.5</x:v>
      </x:c>
      <x:c r="J39" s="14" t="str">
        <x:v>Boleto</x:v>
      </x:c>
      <x:c r="K39" s="14" t="str">
        <x:v>Processando</x:v>
      </x:c>
      <x:c r="L39" s="15" t="str">
        <x:f>INDEX(Clientes!$F$2:$F$101,MATCH(C39,Clientes!$A$2:$A$101,0))</x:f>
        <x:v>SP</x:v>
      </x:c>
    </x:row>
    <x:row r="40" ht="20" customHeight="1">
      <x:c r="A40" s="13" t="str">
        <x:v>PED00039</x:v>
      </x:c>
      <x:c r="B40" s="19" t="n">
        <x:v>46129</x:v>
      </x:c>
      <x:c r="C40" s="14" t="str">
        <x:v>CLI0058</x:v>
      </x:c>
      <x:c r="D40" s="14" t="str">
        <x:f>INDEX(Clientes!$B$2:$B$101,MATCH(C40,Clientes!$A$2:$A$101,0))</x:f>
        <x:v>Igor Pereira Duarte</x:v>
      </x:c>
      <x:c r="E40" s="14" t="str">
        <x:v>PROD007</x:v>
      </x:c>
      <x:c r="F40" s="14" t="str">
        <x:f>INDEX(Produtos!$B$2:$B$11,MATCH(E40,Produtos!$A$2:$A$11,0))</x:f>
        <x:v>Caneca Cerâmica</x:v>
      </x:c>
      <x:c r="G40" s="18" t="n">
        <x:v>3</x:v>
      </x:c>
      <x:c r="H40" s="17" t="n">
        <x:f>INDEX(Produtos!$D$2:$D$11,MATCH(E40,Produtos!$A$2:$A$11,0))</x:f>
        <x:v>32</x:v>
      </x:c>
      <x:c r="I40" s="17" t="n">
        <x:f>G40*H40</x:f>
        <x:v>96</x:v>
      </x:c>
      <x:c r="J40" s="14" t="str">
        <x:v>Cartão de crédito</x:v>
      </x:c>
      <x:c r="K40" s="14" t="str">
        <x:v>Entregue</x:v>
      </x:c>
      <x:c r="L40" s="15" t="str">
        <x:f>INDEX(Clientes!$F$2:$F$101,MATCH(C40,Clientes!$A$2:$A$101,0))</x:f>
        <x:v>MG</x:v>
      </x:c>
    </x:row>
    <x:row r="41" ht="20" customHeight="1">
      <x:c r="A41" s="13" t="str">
        <x:v>PED00040</x:v>
      </x:c>
      <x:c r="B41" s="19" t="n">
        <x:v>46108</x:v>
      </x:c>
      <x:c r="C41" s="14" t="str">
        <x:v>CLI0040</x:v>
      </x:c>
      <x:c r="D41" s="14" t="str">
        <x:f>INDEX(Clientes!$B$2:$B$101,MATCH(C41,Clientes!$A$2:$A$101,0))</x:f>
        <x:v>Vinícius Andrade Vargas</x:v>
      </x:c>
      <x:c r="E41" s="14" t="str">
        <x:v>PROD005</x:v>
      </x:c>
      <x:c r="F41" s="14" t="str">
        <x:f>INDEX(Produtos!$B$2:$B$11,MATCH(E41,Produtos!$A$2:$A$11,0))</x:f>
        <x:v>Luminária de Mesa LED</x:v>
      </x:c>
      <x:c r="G41" s="18" t="n">
        <x:v>1</x:v>
      </x:c>
      <x:c r="H41" s="17" t="n">
        <x:f>INDEX(Produtos!$D$2:$D$11,MATCH(E41,Produtos!$A$2:$A$11,0))</x:f>
        <x:v>89.5</x:v>
      </x:c>
      <x:c r="I41" s="17" t="n">
        <x:f>G41*H41</x:f>
        <x:v>89.5</x:v>
      </x:c>
      <x:c r="J41" s="14" t="str">
        <x:v>Boleto</x:v>
      </x:c>
      <x:c r="K41" s="14" t="str">
        <x:v>Processando</x:v>
      </x:c>
      <x:c r="L41" s="15" t="str">
        <x:f>INDEX(Clientes!$F$2:$F$101,MATCH(C41,Clientes!$A$2:$A$101,0))</x:f>
        <x:v>PR</x:v>
      </x:c>
    </x:row>
    <x:row r="42" ht="20" customHeight="1">
      <x:c r="A42" s="13" t="str">
        <x:v>PED00041</x:v>
      </x:c>
      <x:c r="B42" s="19" t="n">
        <x:v>46027</x:v>
      </x:c>
      <x:c r="C42" s="14" t="str">
        <x:v>CLI0038</x:v>
      </x:c>
      <x:c r="D42" s="14" t="str">
        <x:f>INDEX(Clientes!$B$2:$B$101,MATCH(C42,Clientes!$A$2:$A$101,0))</x:f>
        <x:v>Pedro Ramos Junqueira</x:v>
      </x:c>
      <x:c r="E42" s="14" t="str">
        <x:v>PROD007</x:v>
      </x:c>
      <x:c r="F42" s="14" t="str">
        <x:f>INDEX(Produtos!$B$2:$B$11,MATCH(E42,Produtos!$A$2:$A$11,0))</x:f>
        <x:v>Caneca Cerâmica</x:v>
      </x:c>
      <x:c r="G42" s="18" t="n">
        <x:v>7</x:v>
      </x:c>
      <x:c r="H42" s="17" t="n">
        <x:f>INDEX(Produtos!$D$2:$D$11,MATCH(E42,Produtos!$A$2:$A$11,0))</x:f>
        <x:v>32</x:v>
      </x:c>
      <x:c r="I42" s="17" t="n">
        <x:f>G42*H42</x:f>
        <x:v>224</x:v>
      </x:c>
      <x:c r="J42" s="14" t="str">
        <x:v>Cartão de crédito</x:v>
      </x:c>
      <x:c r="K42" s="14" t="str">
        <x:v>Entregue</x:v>
      </x:c>
      <x:c r="L42" s="15" t="str">
        <x:f>INDEX(Clientes!$F$2:$F$101,MATCH(C42,Clientes!$A$2:$A$101,0))</x:f>
        <x:v>SC</x:v>
      </x:c>
    </x:row>
    <x:row r="43" ht="20" customHeight="1">
      <x:c r="A43" s="13" t="str">
        <x:v>PED00042</x:v>
      </x:c>
      <x:c r="B43" s="19" t="n">
        <x:v>46203</x:v>
      </x:c>
      <x:c r="C43" s="14" t="str">
        <x:v>CLI0088</x:v>
      </x:c>
      <x:c r="D43" s="14" t="str">
        <x:f>INDEX(Clientes!$B$2:$B$101,MATCH(C43,Clientes!$A$2:$A$101,0))</x:f>
        <x:v>Samuel Rocha Ferreira</x:v>
      </x:c>
      <x:c r="E43" s="14" t="str">
        <x:v>PROD007</x:v>
      </x:c>
      <x:c r="F43" s="14" t="str">
        <x:f>INDEX(Produtos!$B$2:$B$11,MATCH(E43,Produtos!$A$2:$A$11,0))</x:f>
        <x:v>Caneca Cerâmica</x:v>
      </x:c>
      <x:c r="G43" s="18" t="n">
        <x:v>5</x:v>
      </x:c>
      <x:c r="H43" s="17" t="n">
        <x:f>INDEX(Produtos!$D$2:$D$11,MATCH(E43,Produtos!$A$2:$A$11,0))</x:f>
        <x:v>32</x:v>
      </x:c>
      <x:c r="I43" s="17" t="n">
        <x:f>G43*H43</x:f>
        <x:v>160</x:v>
      </x:c>
      <x:c r="J43" s="14" t="str">
        <x:v>Boleto</x:v>
      </x:c>
      <x:c r="K43" s="14" t="str">
        <x:v>Processando</x:v>
      </x:c>
      <x:c r="L43" s="15" t="str">
        <x:f>INDEX(Clientes!$F$2:$F$101,MATCH(C43,Clientes!$A$2:$A$101,0))</x:f>
        <x:v>MG</x:v>
      </x:c>
    </x:row>
    <x:row r="44" ht="20" customHeight="1">
      <x:c r="A44" s="13" t="str">
        <x:v>PED00043</x:v>
      </x:c>
      <x:c r="B44" s="19" t="n">
        <x:v>46178</x:v>
      </x:c>
      <x:c r="C44" s="14" t="str">
        <x:v>CLI0010</x:v>
      </x:c>
      <x:c r="D44" s="14" t="str">
        <x:f>INDEX(Clientes!$B$2:$B$101,MATCH(C44,Clientes!$A$2:$A$101,0))</x:f>
        <x:v>Samuel Almeida Henrique</x:v>
      </x:c>
      <x:c r="E44" s="14" t="str">
        <x:v>PROD005</x:v>
      </x:c>
      <x:c r="F44" s="14" t="str">
        <x:f>INDEX(Produtos!$B$2:$B$11,MATCH(E44,Produtos!$A$2:$A$11,0))</x:f>
        <x:v>Luminária de Mesa LED</x:v>
      </x:c>
      <x:c r="G44" s="18" t="n">
        <x:v>3</x:v>
      </x:c>
      <x:c r="H44" s="17" t="n">
        <x:f>INDEX(Produtos!$D$2:$D$11,MATCH(E44,Produtos!$A$2:$A$11,0))</x:f>
        <x:v>89.5</x:v>
      </x:c>
      <x:c r="I44" s="17" t="n">
        <x:f>G44*H44</x:f>
        <x:v>268.5</x:v>
      </x:c>
      <x:c r="J44" s="14" t="str">
        <x:v>Cartão de crédito</x:v>
      </x:c>
      <x:c r="K44" s="14" t="str">
        <x:v>Entregue</x:v>
      </x:c>
      <x:c r="L44" s="15" t="str">
        <x:f>INDEX(Clientes!$F$2:$F$101,MATCH(C44,Clientes!$A$2:$A$101,0))</x:f>
        <x:v>PR</x:v>
      </x:c>
    </x:row>
    <x:row r="45" ht="20" customHeight="1">
      <x:c r="A45" s="13" t="str">
        <x:v>PED00044</x:v>
      </x:c>
      <x:c r="B45" s="19" t="n">
        <x:v>46113</x:v>
      </x:c>
      <x:c r="C45" s="14" t="str">
        <x:v>CLI0020</x:v>
      </x:c>
      <x:c r="D45" s="14" t="str">
        <x:f>INDEX(Clientes!$B$2:$B$101,MATCH(C45,Clientes!$A$2:$A$101,0))</x:f>
        <x:v>João Esteves Garcia</x:v>
      </x:c>
      <x:c r="E45" s="14" t="str">
        <x:v>PROD005</x:v>
      </x:c>
      <x:c r="F45" s="14" t="str">
        <x:f>INDEX(Produtos!$B$2:$B$11,MATCH(E45,Produtos!$A$2:$A$11,0))</x:f>
        <x:v>Luminária de Mesa LED</x:v>
      </x:c>
      <x:c r="G45" s="18" t="n">
        <x:v>1</x:v>
      </x:c>
      <x:c r="H45" s="17" t="n">
        <x:f>INDEX(Produtos!$D$2:$D$11,MATCH(E45,Produtos!$A$2:$A$11,0))</x:f>
        <x:v>89.5</x:v>
      </x:c>
      <x:c r="I45" s="17" t="n">
        <x:f>G45*H45</x:f>
        <x:v>89.5</x:v>
      </x:c>
      <x:c r="J45" s="14" t="str">
        <x:v>Boleto</x:v>
      </x:c>
      <x:c r="K45" s="14" t="str">
        <x:v>Processando</x:v>
      </x:c>
      <x:c r="L45" s="15" t="str">
        <x:f>INDEX(Clientes!$F$2:$F$101,MATCH(C45,Clientes!$A$2:$A$101,0))</x:f>
        <x:v>MG</x:v>
      </x:c>
    </x:row>
    <x:row r="46" ht="20" customHeight="1">
      <x:c r="A46" s="13" t="str">
        <x:v>PED00045</x:v>
      </x:c>
      <x:c r="B46" s="19" t="n">
        <x:v>46200</x:v>
      </x:c>
      <x:c r="C46" s="14" t="str">
        <x:v>CLI0030</x:v>
      </x:c>
      <x:c r="D46" s="14" t="str">
        <x:f>INDEX(Clientes!$B$2:$B$101,MATCH(C46,Clientes!$A$2:$A$101,0))</x:f>
        <x:v>Henrique Gomes Batista</x:v>
      </x:c>
      <x:c r="E46" s="14" t="str">
        <x:v>PROD001</x:v>
      </x:c>
      <x:c r="F46" s="14" t="str">
        <x:f>INDEX(Produtos!$B$2:$B$11,MATCH(E46,Produtos!$A$2:$A$11,0))</x:f>
        <x:v>Caderno Universitário</x:v>
      </x:c>
      <x:c r="G46" s="18" t="n">
        <x:v>7</x:v>
      </x:c>
      <x:c r="H46" s="17" t="n">
        <x:f>INDEX(Produtos!$D$2:$D$11,MATCH(E46,Produtos!$A$2:$A$11,0))</x:f>
        <x:v>24.9</x:v>
      </x:c>
      <x:c r="I46" s="17" t="n">
        <x:f>G46*H46</x:f>
        <x:v>174.29999999999998</x:v>
      </x:c>
      <x:c r="J46" s="14" t="str">
        <x:v>Cartão de crédito</x:v>
      </x:c>
      <x:c r="K46" s="14" t="str">
        <x:v>Entregue</x:v>
      </x:c>
      <x:c r="L46" s="15" t="str">
        <x:f>INDEX(Clientes!$F$2:$F$101,MATCH(C46,Clientes!$A$2:$A$101,0))</x:f>
        <x:v>SP</x:v>
      </x:c>
    </x:row>
    <x:row r="47" ht="20" customHeight="1">
      <x:c r="A47" s="13" t="str">
        <x:v>PED00046</x:v>
      </x:c>
      <x:c r="B47" s="19" t="n">
        <x:v>46278</x:v>
      </x:c>
      <x:c r="C47" s="14" t="str">
        <x:v>CLI0020</x:v>
      </x:c>
      <x:c r="D47" s="14" t="str">
        <x:f>INDEX(Clientes!$B$2:$B$101,MATCH(C47,Clientes!$A$2:$A$101,0))</x:f>
        <x:v>João Esteves Garcia</x:v>
      </x:c>
      <x:c r="E47" s="14" t="str">
        <x:v>PROD005</x:v>
      </x:c>
      <x:c r="F47" s="14" t="str">
        <x:f>INDEX(Produtos!$B$2:$B$11,MATCH(E47,Produtos!$A$2:$A$11,0))</x:f>
        <x:v>Luminária de Mesa LED</x:v>
      </x:c>
      <x:c r="G47" s="18" t="n">
        <x:v>5</x:v>
      </x:c>
      <x:c r="H47" s="17" t="n">
        <x:f>INDEX(Produtos!$D$2:$D$11,MATCH(E47,Produtos!$A$2:$A$11,0))</x:f>
        <x:v>89.5</x:v>
      </x:c>
      <x:c r="I47" s="17" t="n">
        <x:f>G47*H47</x:f>
        <x:v>447.5</x:v>
      </x:c>
      <x:c r="J47" s="14" t="str">
        <x:v>Boleto</x:v>
      </x:c>
      <x:c r="K47" s="14" t="str">
        <x:v>Processando</x:v>
      </x:c>
      <x:c r="L47" s="15" t="str">
        <x:f>INDEX(Clientes!$F$2:$F$101,MATCH(C47,Clientes!$A$2:$A$101,0))</x:f>
        <x:v>MG</x:v>
      </x:c>
    </x:row>
    <x:row r="48" ht="20" customHeight="1">
      <x:c r="A48" s="13" t="str">
        <x:v>PED00047</x:v>
      </x:c>
      <x:c r="B48" s="19" t="n">
        <x:v>46233</x:v>
      </x:c>
      <x:c r="C48" s="14" t="str">
        <x:v>CLI0086</x:v>
      </x:c>
      <x:c r="D48" s="14" t="str">
        <x:f>INDEX(Clientes!$B$2:$B$101,MATCH(C48,Clientes!$A$2:$A$101,0))</x:f>
        <x:v>Pedro Lopes Henrique</x:v>
      </x:c>
      <x:c r="E48" s="14" t="str">
        <x:v>PROD005</x:v>
      </x:c>
      <x:c r="F48" s="14" t="str">
        <x:f>INDEX(Produtos!$B$2:$B$11,MATCH(E48,Produtos!$A$2:$A$11,0))</x:f>
        <x:v>Luminária de Mesa LED</x:v>
      </x:c>
      <x:c r="G48" s="18" t="n">
        <x:v>3</x:v>
      </x:c>
      <x:c r="H48" s="17" t="n">
        <x:f>INDEX(Produtos!$D$2:$D$11,MATCH(E48,Produtos!$A$2:$A$11,0))</x:f>
        <x:v>89.5</x:v>
      </x:c>
      <x:c r="I48" s="17" t="n">
        <x:f>G48*H48</x:f>
        <x:v>268.5</x:v>
      </x:c>
      <x:c r="J48" s="14" t="str">
        <x:v>Cartão de crédito</x:v>
      </x:c>
      <x:c r="K48" s="14" t="str">
        <x:v>Entregue</x:v>
      </x:c>
      <x:c r="L48" s="15" t="str">
        <x:f>INDEX(Clientes!$F$2:$F$101,MATCH(C48,Clientes!$A$2:$A$101,0))</x:f>
        <x:v>PR</x:v>
      </x:c>
    </x:row>
    <x:row r="49" ht="20" customHeight="1">
      <x:c r="A49" s="13" t="str">
        <x:v>PED00048</x:v>
      </x:c>
      <x:c r="B49" s="19" t="n">
        <x:v>46257</x:v>
      </x:c>
      <x:c r="C49" s="14" t="str">
        <x:v>CLI0076</x:v>
      </x:c>
      <x:c r="D49" s="14" t="str">
        <x:f>INDEX(Clientes!$B$2:$B$101,MATCH(C49,Clientes!$A$2:$A$101,0))</x:f>
        <x:v>Vinícius Farias Machado</x:v>
      </x:c>
      <x:c r="E49" s="14" t="str">
        <x:v>PROD005</x:v>
      </x:c>
      <x:c r="F49" s="14" t="str">
        <x:f>INDEX(Produtos!$B$2:$B$11,MATCH(E49,Produtos!$A$2:$A$11,0))</x:f>
        <x:v>Luminária de Mesa LED</x:v>
      </x:c>
      <x:c r="G49" s="18" t="n">
        <x:v>1</x:v>
      </x:c>
      <x:c r="H49" s="17" t="n">
        <x:f>INDEX(Produtos!$D$2:$D$11,MATCH(E49,Produtos!$A$2:$A$11,0))</x:f>
        <x:v>89.5</x:v>
      </x:c>
      <x:c r="I49" s="17" t="n">
        <x:f>G49*H49</x:f>
        <x:v>89.5</x:v>
      </x:c>
      <x:c r="J49" s="14" t="str">
        <x:v>Boleto</x:v>
      </x:c>
      <x:c r="K49" s="14" t="str">
        <x:v>Processando</x:v>
      </x:c>
      <x:c r="L49" s="15" t="str">
        <x:f>INDEX(Clientes!$F$2:$F$101,MATCH(C49,Clientes!$A$2:$A$101,0))</x:f>
        <x:v>BA</x:v>
      </x:c>
    </x:row>
    <x:row r="50" ht="20" customHeight="1">
      <x:c r="A50" s="13" t="str">
        <x:v>PED00049</x:v>
      </x:c>
      <x:c r="B50" s="19" t="n">
        <x:v>46124</x:v>
      </x:c>
      <x:c r="C50" s="14" t="str">
        <x:v>CLI0090</x:v>
      </x:c>
      <x:c r="D50" s="14" t="str">
        <x:f>INDEX(Clientes!$B$2:$B$101,MATCH(C50,Clientes!$A$2:$A$101,0))</x:f>
        <x:v>Bruno Pereira Silva</x:v>
      </x:c>
      <x:c r="E50" s="14" t="str">
        <x:v>PROD001</x:v>
      </x:c>
      <x:c r="F50" s="14" t="str">
        <x:f>INDEX(Produtos!$B$2:$B$11,MATCH(E50,Produtos!$A$2:$A$11,0))</x:f>
        <x:v>Caderno Universitário</x:v>
      </x:c>
      <x:c r="G50" s="18" t="n">
        <x:v>7</x:v>
      </x:c>
      <x:c r="H50" s="17" t="n">
        <x:f>INDEX(Produtos!$D$2:$D$11,MATCH(E50,Produtos!$A$2:$A$11,0))</x:f>
        <x:v>24.9</x:v>
      </x:c>
      <x:c r="I50" s="17" t="n">
        <x:f>G50*H50</x:f>
        <x:v>174.29999999999998</x:v>
      </x:c>
      <x:c r="J50" s="14" t="str">
        <x:v>Cartão de crédito</x:v>
      </x:c>
      <x:c r="K50" s="14" t="str">
        <x:v>Entregue</x:v>
      </x:c>
      <x:c r="L50" s="15" t="str">
        <x:f>INDEX(Clientes!$F$2:$F$101,MATCH(C50,Clientes!$A$2:$A$101,0))</x:f>
        <x:v>BA</x:v>
      </x:c>
    </x:row>
    <x:row r="51" ht="20" customHeight="1">
      <x:c r="A51" s="13" t="str">
        <x:v>PED00050</x:v>
      </x:c>
      <x:c r="B51" s="19" t="n">
        <x:v>46093</x:v>
      </x:c>
      <x:c r="C51" s="14" t="str">
        <x:v>CLI0064</x:v>
      </x:c>
      <x:c r="D51" s="14" t="str">
        <x:f>INDEX(Clientes!$B$2:$B$101,MATCH(C51,Clientes!$A$2:$A$101,0))</x:f>
        <x:v>Leonardo Ibrahim Machado</x:v>
      </x:c>
      <x:c r="E51" s="14" t="str">
        <x:v>PROD005</x:v>
      </x:c>
      <x:c r="F51" s="14" t="str">
        <x:f>INDEX(Produtos!$B$2:$B$11,MATCH(E51,Produtos!$A$2:$A$11,0))</x:f>
        <x:v>Luminária de Mesa LED</x:v>
      </x:c>
      <x:c r="G51" s="18" t="n">
        <x:v>5</x:v>
      </x:c>
      <x:c r="H51" s="17" t="n">
        <x:f>INDEX(Produtos!$D$2:$D$11,MATCH(E51,Produtos!$A$2:$A$11,0))</x:f>
        <x:v>89.5</x:v>
      </x:c>
      <x:c r="I51" s="17" t="n">
        <x:f>G51*H51</x:f>
        <x:v>447.5</x:v>
      </x:c>
      <x:c r="J51" s="14" t="str">
        <x:v>Boleto</x:v>
      </x:c>
      <x:c r="K51" s="14" t="str">
        <x:v>Processando</x:v>
      </x:c>
      <x:c r="L51" s="15" t="str">
        <x:f>INDEX(Clientes!$F$2:$F$101,MATCH(C51,Clientes!$A$2:$A$101,0))</x:f>
        <x:v>SP</x:v>
      </x:c>
    </x:row>
    <x:row r="52" ht="20" customHeight="1">
      <x:c r="A52" s="13" t="str">
        <x:v>PED00051</x:v>
      </x:c>
      <x:c r="B52" s="19" t="n">
        <x:v>46293</x:v>
      </x:c>
      <x:c r="C52" s="14" t="str">
        <x:v>CLI0030</x:v>
      </x:c>
      <x:c r="D52" s="14" t="str">
        <x:f>INDEX(Clientes!$B$2:$B$101,MATCH(C52,Clientes!$A$2:$A$101,0))</x:f>
        <x:v>Henrique Gomes Batista</x:v>
      </x:c>
      <x:c r="E52" s="14" t="str">
        <x:v>PROD007</x:v>
      </x:c>
      <x:c r="F52" s="14" t="str">
        <x:f>INDEX(Produtos!$B$2:$B$11,MATCH(E52,Produtos!$A$2:$A$11,0))</x:f>
        <x:v>Caneca Cerâmica</x:v>
      </x:c>
      <x:c r="G52" s="18" t="n">
        <x:v>3</x:v>
      </x:c>
      <x:c r="H52" s="17" t="n">
        <x:f>INDEX(Produtos!$D$2:$D$11,MATCH(E52,Produtos!$A$2:$A$11,0))</x:f>
        <x:v>32</x:v>
      </x:c>
      <x:c r="I52" s="17" t="n">
        <x:f>G52*H52</x:f>
        <x:v>96</x:v>
      </x:c>
      <x:c r="J52" s="14" t="str">
        <x:v>Cartão de crédito</x:v>
      </x:c>
      <x:c r="K52" s="14" t="str">
        <x:v>Entregue</x:v>
      </x:c>
      <x:c r="L52" s="15" t="str">
        <x:f>INDEX(Clientes!$F$2:$F$101,MATCH(C52,Clientes!$A$2:$A$101,0))</x:f>
        <x:v>SP</x:v>
      </x:c>
    </x:row>
    <x:row r="53" ht="20" customHeight="1">
      <x:c r="A53" s="13" t="str">
        <x:v>PED00052</x:v>
      </x:c>
      <x:c r="B53" s="19" t="n">
        <x:v>46264</x:v>
      </x:c>
      <x:c r="C53" s="14" t="str">
        <x:v>CLI0056</x:v>
      </x:c>
      <x:c r="D53" s="14" t="str">
        <x:f>INDEX(Clientes!$B$2:$B$101,MATCH(C53,Clientes!$A$2:$A$101,0))</x:f>
        <x:v>Gustavo Andrade Souza</x:v>
      </x:c>
      <x:c r="E53" s="14" t="str">
        <x:v>PROD001</x:v>
      </x:c>
      <x:c r="F53" s="14" t="str">
        <x:f>INDEX(Produtos!$B$2:$B$11,MATCH(E53,Produtos!$A$2:$A$11,0))</x:f>
        <x:v>Caderno Universitário</x:v>
      </x:c>
      <x:c r="G53" s="18" t="n">
        <x:v>1</x:v>
      </x:c>
      <x:c r="H53" s="17" t="n">
        <x:f>INDEX(Produtos!$D$2:$D$11,MATCH(E53,Produtos!$A$2:$A$11,0))</x:f>
        <x:v>24.9</x:v>
      </x:c>
      <x:c r="I53" s="17" t="n">
        <x:f>G53*H53</x:f>
        <x:v>24.9</x:v>
      </x:c>
      <x:c r="J53" s="14" t="str">
        <x:v>Boleto</x:v>
      </x:c>
      <x:c r="K53" s="14" t="str">
        <x:v>Processando</x:v>
      </x:c>
      <x:c r="L53" s="15" t="str">
        <x:f>INDEX(Clientes!$F$2:$F$101,MATCH(C53,Clientes!$A$2:$A$101,0))</x:f>
        <x:v>PR</x:v>
      </x:c>
    </x:row>
    <x:row r="54" ht="20" customHeight="1">
      <x:c r="A54" s="13" t="str">
        <x:v>PED00053</x:v>
      </x:c>
      <x:c r="B54" s="19" t="n">
        <x:v>46112</x:v>
      </x:c>
      <x:c r="C54" s="14" t="str">
        <x:v>CLI0018</x:v>
      </x:c>
      <x:c r="D54" s="14" t="str">
        <x:f>INDEX(Clientes!$B$2:$B$101,MATCH(C54,Clientes!$A$2:$A$101,0))</x:f>
        <x:v>Bruno Cardoso Dias</x:v>
      </x:c>
      <x:c r="E54" s="14" t="str">
        <x:v>PROD003</x:v>
      </x:c>
      <x:c r="F54" s="14" t="str">
        <x:f>INDEX(Produtos!$B$2:$B$11,MATCH(E54,Produtos!$A$2:$A$11,0))</x:f>
        <x:v>Fone Bluetooth</x:v>
      </x:c>
      <x:c r="G54" s="18" t="n">
        <x:v>7</x:v>
      </x:c>
      <x:c r="H54" s="17" t="n">
        <x:f>INDEX(Produtos!$D$2:$D$11,MATCH(E54,Produtos!$A$2:$A$11,0))</x:f>
        <x:v>129.9</x:v>
      </x:c>
      <x:c r="I54" s="17" t="n">
        <x:f>G54*H54</x:f>
        <x:v>909.3000000000001</x:v>
      </x:c>
      <x:c r="J54" s="14" t="str">
        <x:v>Cartão de crédito</x:v>
      </x:c>
      <x:c r="K54" s="14" t="str">
        <x:v>Entregue</x:v>
      </x:c>
      <x:c r="L54" s="15" t="str">
        <x:f>INDEX(Clientes!$F$2:$F$101,MATCH(C54,Clientes!$A$2:$A$101,0))</x:f>
        <x:v>BA</x:v>
      </x:c>
    </x:row>
    <x:row r="55" ht="20" customHeight="1">
      <x:c r="A55" s="13" t="str">
        <x:v>PED00054</x:v>
      </x:c>
      <x:c r="B55" s="19" t="n">
        <x:v>46171</x:v>
      </x:c>
      <x:c r="C55" s="14" t="str">
        <x:v>CLI0040</x:v>
      </x:c>
      <x:c r="D55" s="14" t="str">
        <x:f>INDEX(Clientes!$B$2:$B$101,MATCH(C55,Clientes!$A$2:$A$101,0))</x:f>
        <x:v>Vinícius Andrade Vargas</x:v>
      </x:c>
      <x:c r="E55" s="14" t="str">
        <x:v>PROD003</x:v>
      </x:c>
      <x:c r="F55" s="14" t="str">
        <x:f>INDEX(Produtos!$B$2:$B$11,MATCH(E55,Produtos!$A$2:$A$11,0))</x:f>
        <x:v>Fone Bluetooth</x:v>
      </x:c>
      <x:c r="G55" s="18" t="n">
        <x:v>5</x:v>
      </x:c>
      <x:c r="H55" s="17" t="n">
        <x:f>INDEX(Produtos!$D$2:$D$11,MATCH(E55,Produtos!$A$2:$A$11,0))</x:f>
        <x:v>129.9</x:v>
      </x:c>
      <x:c r="I55" s="17" t="n">
        <x:f>G55*H55</x:f>
        <x:v>649.5</x:v>
      </x:c>
      <x:c r="J55" s="14" t="str">
        <x:v>Boleto</x:v>
      </x:c>
      <x:c r="K55" s="14" t="str">
        <x:v>Processando</x:v>
      </x:c>
      <x:c r="L55" s="15" t="str">
        <x:f>INDEX(Clientes!$F$2:$F$101,MATCH(C55,Clientes!$A$2:$A$101,0))</x:f>
        <x:v>PR</x:v>
      </x:c>
    </x:row>
    <x:row r="56" ht="20" customHeight="1">
      <x:c r="A56" s="13" t="str">
        <x:v>PED00055</x:v>
      </x:c>
      <x:c r="B56" s="19" t="n">
        <x:v>46049</x:v>
      </x:c>
      <x:c r="C56" s="14" t="str">
        <x:v>CLI0030</x:v>
      </x:c>
      <x:c r="D56" s="14" t="str">
        <x:f>INDEX(Clientes!$B$2:$B$101,MATCH(C56,Clientes!$A$2:$A$101,0))</x:f>
        <x:v>Henrique Gomes Batista</x:v>
      </x:c>
      <x:c r="E56" s="14" t="str">
        <x:v>PROD005</x:v>
      </x:c>
      <x:c r="F56" s="14" t="str">
        <x:f>INDEX(Produtos!$B$2:$B$11,MATCH(E56,Produtos!$A$2:$A$11,0))</x:f>
        <x:v>Luminária de Mesa LED</x:v>
      </x:c>
      <x:c r="G56" s="18" t="n">
        <x:v>3</x:v>
      </x:c>
      <x:c r="H56" s="17" t="n">
        <x:f>INDEX(Produtos!$D$2:$D$11,MATCH(E56,Produtos!$A$2:$A$11,0))</x:f>
        <x:v>89.5</x:v>
      </x:c>
      <x:c r="I56" s="17" t="n">
        <x:f>G56*H56</x:f>
        <x:v>268.5</x:v>
      </x:c>
      <x:c r="J56" s="14" t="str">
        <x:v>Cartão de crédito</x:v>
      </x:c>
      <x:c r="K56" s="14" t="str">
        <x:v>Entregue</x:v>
      </x:c>
      <x:c r="L56" s="15" t="str">
        <x:f>INDEX(Clientes!$F$2:$F$101,MATCH(C56,Clientes!$A$2:$A$101,0))</x:f>
        <x:v>SP</x:v>
      </x:c>
    </x:row>
    <x:row r="57" ht="20" customHeight="1">
      <x:c r="A57" s="13" t="str">
        <x:v>PED00056</x:v>
      </x:c>
      <x:c r="B57" s="19" t="n">
        <x:v>46176</x:v>
      </x:c>
      <x:c r="C57" s="14" t="str">
        <x:v>CLI0072</x:v>
      </x:c>
      <x:c r="D57" s="14" t="str">
        <x:f>INDEX(Clientes!$B$2:$B$101,MATCH(C57,Clientes!$A$2:$A$101,0))</x:f>
        <x:v>Leonardo Farias Dias</x:v>
      </x:c>
      <x:c r="E57" s="14" t="str">
        <x:v>PROD003</x:v>
      </x:c>
      <x:c r="F57" s="14" t="str">
        <x:f>INDEX(Produtos!$B$2:$B$11,MATCH(E57,Produtos!$A$2:$A$11,0))</x:f>
        <x:v>Fone Bluetooth</x:v>
      </x:c>
      <x:c r="G57" s="18" t="n">
        <x:v>1</x:v>
      </x:c>
      <x:c r="H57" s="17" t="n">
        <x:f>INDEX(Produtos!$D$2:$D$11,MATCH(E57,Produtos!$A$2:$A$11,0))</x:f>
        <x:v>129.9</x:v>
      </x:c>
      <x:c r="I57" s="17" t="n">
        <x:f>G57*H57</x:f>
        <x:v>129.9</x:v>
      </x:c>
      <x:c r="J57" s="14" t="str">
        <x:v>Boleto</x:v>
      </x:c>
      <x:c r="K57" s="14" t="str">
        <x:v>Processando</x:v>
      </x:c>
      <x:c r="L57" s="15" t="str">
        <x:f>INDEX(Clientes!$F$2:$F$101,MATCH(C57,Clientes!$A$2:$A$101,0))</x:f>
        <x:v>SP</x:v>
      </x:c>
    </x:row>
    <x:row r="58" ht="20" customHeight="1">
      <x:c r="A58" s="13" t="str">
        <x:v>PED00057</x:v>
      </x:c>
      <x:c r="B58" s="19" t="n">
        <x:v>46227</x:v>
      </x:c>
      <x:c r="C58" s="14" t="str">
        <x:v>CLI0026</x:v>
      </x:c>
      <x:c r="D58" s="14" t="str">
        <x:f>INDEX(Clientes!$B$2:$B$101,MATCH(C58,Clientes!$A$2:$A$101,0))</x:f>
        <x:v>Henrique Lopes Henrique</x:v>
      </x:c>
      <x:c r="E58" s="14" t="str">
        <x:v>PROD005</x:v>
      </x:c>
      <x:c r="F58" s="14" t="str">
        <x:f>INDEX(Produtos!$B$2:$B$11,MATCH(E58,Produtos!$A$2:$A$11,0))</x:f>
        <x:v>Luminária de Mesa LED</x:v>
      </x:c>
      <x:c r="G58" s="18" t="n">
        <x:v>7</x:v>
      </x:c>
      <x:c r="H58" s="17" t="n">
        <x:f>INDEX(Produtos!$D$2:$D$11,MATCH(E58,Produtos!$A$2:$A$11,0))</x:f>
        <x:v>89.5</x:v>
      </x:c>
      <x:c r="I58" s="17" t="n">
        <x:f>G58*H58</x:f>
        <x:v>626.5</x:v>
      </x:c>
      <x:c r="J58" s="14" t="str">
        <x:v>Cartão de crédito</x:v>
      </x:c>
      <x:c r="K58" s="14" t="str">
        <x:v>Entregue</x:v>
      </x:c>
      <x:c r="L58" s="15" t="str">
        <x:f>INDEX(Clientes!$F$2:$F$101,MATCH(C58,Clientes!$A$2:$A$101,0))</x:f>
        <x:v>SP</x:v>
      </x:c>
    </x:row>
    <x:row r="59" ht="20" customHeight="1">
      <x:c r="A59" s="13" t="str">
        <x:v>PED00058</x:v>
      </x:c>
      <x:c r="B59" s="19" t="n">
        <x:v>46170</x:v>
      </x:c>
      <x:c r="C59" s="14" t="str">
        <x:v>CLI0020</x:v>
      </x:c>
      <x:c r="D59" s="14" t="str">
        <x:f>INDEX(Clientes!$B$2:$B$101,MATCH(C59,Clientes!$A$2:$A$101,0))</x:f>
        <x:v>João Esteves Garcia</x:v>
      </x:c>
      <x:c r="E59" s="14" t="str">
        <x:v>PROD001</x:v>
      </x:c>
      <x:c r="F59" s="14" t="str">
        <x:f>INDEX(Produtos!$B$2:$B$11,MATCH(E59,Produtos!$A$2:$A$11,0))</x:f>
        <x:v>Caderno Universitário</x:v>
      </x:c>
      <x:c r="G59" s="18" t="n">
        <x:v>5</x:v>
      </x:c>
      <x:c r="H59" s="17" t="n">
        <x:f>INDEX(Produtos!$D$2:$D$11,MATCH(E59,Produtos!$A$2:$A$11,0))</x:f>
        <x:v>24.9</x:v>
      </x:c>
      <x:c r="I59" s="17" t="n">
        <x:f>G59*H59</x:f>
        <x:v>124.5</x:v>
      </x:c>
      <x:c r="J59" s="14" t="str">
        <x:v>Boleto</x:v>
      </x:c>
      <x:c r="K59" s="14" t="str">
        <x:v>Processando</x:v>
      </x:c>
      <x:c r="L59" s="15" t="str">
        <x:f>INDEX(Clientes!$F$2:$F$101,MATCH(C59,Clientes!$A$2:$A$101,0))</x:f>
        <x:v>MG</x:v>
      </x:c>
    </x:row>
    <x:row r="60" ht="20" customHeight="1">
      <x:c r="A60" s="13" t="str">
        <x:v>PED00059</x:v>
      </x:c>
      <x:c r="B60" s="19" t="n">
        <x:v>46260</x:v>
      </x:c>
      <x:c r="C60" s="14" t="str">
        <x:v>CLI0094</x:v>
      </x:c>
      <x:c r="D60" s="14" t="str">
        <x:f>INDEX(Clientes!$B$2:$B$101,MATCH(C60,Clientes!$A$2:$A$101,0))</x:f>
        <x:v>Daniel Pereira Henrique</x:v>
      </x:c>
      <x:c r="E60" s="14" t="str">
        <x:v>PROD009</x:v>
      </x:c>
      <x:c r="F60" s="14" t="str">
        <x:f>INDEX(Produtos!$B$2:$B$11,MATCH(E60,Produtos!$A$2:$A$11,0))</x:f>
        <x:v>Carregador USB-C</x:v>
      </x:c>
      <x:c r="G60" s="18" t="n">
        <x:v>3</x:v>
      </x:c>
      <x:c r="H60" s="17" t="n">
        <x:f>INDEX(Produtos!$D$2:$D$11,MATCH(E60,Produtos!$A$2:$A$11,0))</x:f>
        <x:v>59.9</x:v>
      </x:c>
      <x:c r="I60" s="17" t="n">
        <x:f>G60*H60</x:f>
        <x:v>179.7</x:v>
      </x:c>
      <x:c r="J60" s="14" t="str">
        <x:v>Cartão de crédito</x:v>
      </x:c>
      <x:c r="K60" s="14" t="str">
        <x:v>Entregue</x:v>
      </x:c>
      <x:c r="L60" s="15" t="str">
        <x:f>INDEX(Clientes!$F$2:$F$101,MATCH(C60,Clientes!$A$2:$A$101,0))</x:f>
        <x:v>PR</x:v>
      </x:c>
    </x:row>
    <x:row r="61" ht="20" customHeight="1">
      <x:c r="A61" s="13" t="str">
        <x:v>PED00060</x:v>
      </x:c>
      <x:c r="B61" s="19" t="n">
        <x:v>46154</x:v>
      </x:c>
      <x:c r="C61" s="14" t="str">
        <x:v>CLI0008</x:v>
      </x:c>
      <x:c r="D61" s="14" t="str">
        <x:f>INDEX(Clientes!$B$2:$B$101,MATCH(C61,Clientes!$A$2:$A$101,0))</x:f>
        <x:v>Enzo Esteves Junqueira</x:v>
      </x:c>
      <x:c r="E61" s="14" t="str">
        <x:v>PROD005</x:v>
      </x:c>
      <x:c r="F61" s="14" t="str">
        <x:f>INDEX(Produtos!$B$2:$B$11,MATCH(E61,Produtos!$A$2:$A$11,0))</x:f>
        <x:v>Luminária de Mesa LED</x:v>
      </x:c>
      <x:c r="G61" s="18" t="n">
        <x:v>1</x:v>
      </x:c>
      <x:c r="H61" s="17" t="n">
        <x:f>INDEX(Produtos!$D$2:$D$11,MATCH(E61,Produtos!$A$2:$A$11,0))</x:f>
        <x:v>89.5</x:v>
      </x:c>
      <x:c r="I61" s="17" t="n">
        <x:f>G61*H61</x:f>
        <x:v>89.5</x:v>
      </x:c>
      <x:c r="J61" s="14" t="str">
        <x:v>Boleto</x:v>
      </x:c>
      <x:c r="K61" s="14" t="str">
        <x:v>Processando</x:v>
      </x:c>
      <x:c r="L61" s="15" t="str">
        <x:f>INDEX(Clientes!$F$2:$F$101,MATCH(C61,Clientes!$A$2:$A$101,0))</x:f>
        <x:v>PR</x:v>
      </x:c>
    </x:row>
    <x:row r="62" ht="20" customHeight="1">
      <x:c r="A62" s="13" t="str">
        <x:v>PED00061</x:v>
      </x:c>
      <x:c r="B62" s="19" t="n">
        <x:v>46207</x:v>
      </x:c>
      <x:c r="C62" s="14" t="str">
        <x:v>CLI0062</x:v>
      </x:c>
      <x:c r="D62" s="14" t="str">
        <x:f>INDEX(Clientes!$B$2:$B$101,MATCH(C62,Clientes!$A$2:$A$101,0))</x:f>
        <x:v>Enzo Pereira Duarte</x:v>
      </x:c>
      <x:c r="E62" s="14" t="str">
        <x:v>PROD009</x:v>
      </x:c>
      <x:c r="F62" s="14" t="str">
        <x:f>INDEX(Produtos!$B$2:$B$11,MATCH(E62,Produtos!$A$2:$A$11,0))</x:f>
        <x:v>Carregador USB-C</x:v>
      </x:c>
      <x:c r="G62" s="18" t="n">
        <x:v>7</x:v>
      </x:c>
      <x:c r="H62" s="17" t="n">
        <x:f>INDEX(Produtos!$D$2:$D$11,MATCH(E62,Produtos!$A$2:$A$11,0))</x:f>
        <x:v>59.9</x:v>
      </x:c>
      <x:c r="I62" s="17" t="n">
        <x:f>G62*H62</x:f>
        <x:v>419.3</x:v>
      </x:c>
      <x:c r="J62" s="14" t="str">
        <x:v>Cartão de crédito</x:v>
      </x:c>
      <x:c r="K62" s="14" t="str">
        <x:v>Entregue</x:v>
      </x:c>
      <x:c r="L62" s="15" t="str">
        <x:f>INDEX(Clientes!$F$2:$F$101,MATCH(C62,Clientes!$A$2:$A$101,0))</x:f>
        <x:v>SC</x:v>
      </x:c>
    </x:row>
    <x:row r="63" ht="20" customHeight="1">
      <x:c r="A63" s="13" t="str">
        <x:v>PED00062</x:v>
      </x:c>
      <x:c r="B63" s="19" t="n">
        <x:v>46104</x:v>
      </x:c>
      <x:c r="C63" s="14" t="str">
        <x:v>CLI0080</x:v>
      </x:c>
      <x:c r="D63" s="14" t="str">
        <x:f>INDEX(Clientes!$B$2:$B$101,MATCH(C63,Clientes!$A$2:$A$101,0))</x:f>
        <x:v>Caio Nascimento Vargas</x:v>
      </x:c>
      <x:c r="E63" s="14" t="str">
        <x:v>PROD005</x:v>
      </x:c>
      <x:c r="F63" s="14" t="str">
        <x:f>INDEX(Produtos!$B$2:$B$11,MATCH(E63,Produtos!$A$2:$A$11,0))</x:f>
        <x:v>Luminária de Mesa LED</x:v>
      </x:c>
      <x:c r="G63" s="18" t="n">
        <x:v>5</x:v>
      </x:c>
      <x:c r="H63" s="17" t="n">
        <x:f>INDEX(Produtos!$D$2:$D$11,MATCH(E63,Produtos!$A$2:$A$11,0))</x:f>
        <x:v>89.5</x:v>
      </x:c>
      <x:c r="I63" s="17" t="n">
        <x:f>G63*H63</x:f>
        <x:v>447.5</x:v>
      </x:c>
      <x:c r="J63" s="14" t="str">
        <x:v>Boleto</x:v>
      </x:c>
      <x:c r="K63" s="14" t="str">
        <x:v>Processando</x:v>
      </x:c>
      <x:c r="L63" s="15" t="str">
        <x:f>INDEX(Clientes!$F$2:$F$101,MATCH(C63,Clientes!$A$2:$A$101,0))</x:f>
        <x:v>SC</x:v>
      </x:c>
    </x:row>
    <x:row r="64" ht="20" customHeight="1">
      <x:c r="A64" s="13" t="str">
        <x:v>PED00063</x:v>
      </x:c>
      <x:c r="B64" s="19" t="n">
        <x:v>46144</x:v>
      </x:c>
      <x:c r="C64" s="14" t="str">
        <x:v>CLI0074</x:v>
      </x:c>
      <x:c r="D64" s="14" t="str">
        <x:f>INDEX(Clientes!$B$2:$B$101,MATCH(C64,Clientes!$A$2:$A$101,0))</x:f>
        <x:v>Pedro Costa Mendes</x:v>
      </x:c>
      <x:c r="E64" s="14" t="str">
        <x:v>PROD007</x:v>
      </x:c>
      <x:c r="F64" s="14" t="str">
        <x:f>INDEX(Produtos!$B$2:$B$11,MATCH(E64,Produtos!$A$2:$A$11,0))</x:f>
        <x:v>Caneca Cerâmica</x:v>
      </x:c>
      <x:c r="G64" s="18" t="n">
        <x:v>3</x:v>
      </x:c>
      <x:c r="H64" s="17" t="n">
        <x:f>INDEX(Produtos!$D$2:$D$11,MATCH(E64,Produtos!$A$2:$A$11,0))</x:f>
        <x:v>32</x:v>
      </x:c>
      <x:c r="I64" s="17" t="n">
        <x:f>G64*H64</x:f>
        <x:v>96</x:v>
      </x:c>
      <x:c r="J64" s="14" t="str">
        <x:v>Cartão de crédito</x:v>
      </x:c>
      <x:c r="K64" s="14" t="str">
        <x:v>Entregue</x:v>
      </x:c>
      <x:c r="L64" s="15" t="str">
        <x:f>INDEX(Clientes!$F$2:$F$101,MATCH(C64,Clientes!$A$2:$A$101,0))</x:f>
        <x:v>MG</x:v>
      </x:c>
    </x:row>
    <x:row r="65" ht="20" customHeight="1">
      <x:c r="A65" s="13" t="str">
        <x:v>PED00064</x:v>
      </x:c>
      <x:c r="B65" s="19" t="n">
        <x:v>46124</x:v>
      </x:c>
      <x:c r="C65" s="14" t="str">
        <x:v>CLI0076</x:v>
      </x:c>
      <x:c r="D65" s="14" t="str">
        <x:f>INDEX(Clientes!$B$2:$B$101,MATCH(C65,Clientes!$A$2:$A$101,0))</x:f>
        <x:v>Vinícius Farias Machado</x:v>
      </x:c>
      <x:c r="E65" s="14" t="str">
        <x:v>PROD007</x:v>
      </x:c>
      <x:c r="F65" s="14" t="str">
        <x:f>INDEX(Produtos!$B$2:$B$11,MATCH(E65,Produtos!$A$2:$A$11,0))</x:f>
        <x:v>Caneca Cerâmica</x:v>
      </x:c>
      <x:c r="G65" s="18" t="n">
        <x:v>1</x:v>
      </x:c>
      <x:c r="H65" s="17" t="n">
        <x:f>INDEX(Produtos!$D$2:$D$11,MATCH(E65,Produtos!$A$2:$A$11,0))</x:f>
        <x:v>32</x:v>
      </x:c>
      <x:c r="I65" s="17" t="n">
        <x:f>G65*H65</x:f>
        <x:v>32</x:v>
      </x:c>
      <x:c r="J65" s="14" t="str">
        <x:v>Boleto</x:v>
      </x:c>
      <x:c r="K65" s="14" t="str">
        <x:v>Processando</x:v>
      </x:c>
      <x:c r="L65" s="15" t="str">
        <x:f>INDEX(Clientes!$F$2:$F$101,MATCH(C65,Clientes!$A$2:$A$101,0))</x:f>
        <x:v>BA</x:v>
      </x:c>
    </x:row>
    <x:row r="66" ht="20" customHeight="1">
      <x:c r="A66" s="13" t="str">
        <x:v>PED00065</x:v>
      </x:c>
      <x:c r="B66" s="19" t="n">
        <x:v>46234</x:v>
      </x:c>
      <x:c r="C66" s="14" t="str">
        <x:v>CLI0098</x:v>
      </x:c>
      <x:c r="D66" s="14" t="str">
        <x:f>INDEX(Clientes!$B$2:$B$101,MATCH(C66,Clientes!$A$2:$A$101,0))</x:f>
        <x:v>Pedro Lopes Vargas</x:v>
      </x:c>
      <x:c r="E66" s="14" t="str">
        <x:v>PROD009</x:v>
      </x:c>
      <x:c r="F66" s="14" t="str">
        <x:f>INDEX(Produtos!$B$2:$B$11,MATCH(E66,Produtos!$A$2:$A$11,0))</x:f>
        <x:v>Carregador USB-C</x:v>
      </x:c>
      <x:c r="G66" s="18" t="n">
        <x:v>7</x:v>
      </x:c>
      <x:c r="H66" s="17" t="n">
        <x:f>INDEX(Produtos!$D$2:$D$11,MATCH(E66,Produtos!$A$2:$A$11,0))</x:f>
        <x:v>59.9</x:v>
      </x:c>
      <x:c r="I66" s="17" t="n">
        <x:f>G66*H66</x:f>
        <x:v>419.3</x:v>
      </x:c>
      <x:c r="J66" s="14" t="str">
        <x:v>Cartão de crédito</x:v>
      </x:c>
      <x:c r="K66" s="14" t="str">
        <x:v>Entregue</x:v>
      </x:c>
      <x:c r="L66" s="15" t="str">
        <x:f>INDEX(Clientes!$F$2:$F$101,MATCH(C66,Clientes!$A$2:$A$101,0))</x:f>
        <x:v>BA</x:v>
      </x:c>
    </x:row>
    <x:row r="67" ht="20" customHeight="1">
      <x:c r="A67" s="13" t="str">
        <x:v>PED00066</x:v>
      </x:c>
      <x:c r="B67" s="19" t="n">
        <x:v>46095</x:v>
      </x:c>
      <x:c r="C67" s="14" t="str">
        <x:v>CLI0072</x:v>
      </x:c>
      <x:c r="D67" s="14" t="str">
        <x:f>INDEX(Clientes!$B$2:$B$101,MATCH(C67,Clientes!$A$2:$A$101,0))</x:f>
        <x:v>Leonardo Farias Dias</x:v>
      </x:c>
      <x:c r="E67" s="14" t="str">
        <x:v>PROD009</x:v>
      </x:c>
      <x:c r="F67" s="14" t="str">
        <x:f>INDEX(Produtos!$B$2:$B$11,MATCH(E67,Produtos!$A$2:$A$11,0))</x:f>
        <x:v>Carregador USB-C</x:v>
      </x:c>
      <x:c r="G67" s="18" t="n">
        <x:v>5</x:v>
      </x:c>
      <x:c r="H67" s="17" t="n">
        <x:f>INDEX(Produtos!$D$2:$D$11,MATCH(E67,Produtos!$A$2:$A$11,0))</x:f>
        <x:v>59.9</x:v>
      </x:c>
      <x:c r="I67" s="17" t="n">
        <x:f>G67*H67</x:f>
        <x:v>299.5</x:v>
      </x:c>
      <x:c r="J67" s="14" t="str">
        <x:v>Boleto</x:v>
      </x:c>
      <x:c r="K67" s="14" t="str">
        <x:v>Processando</x:v>
      </x:c>
      <x:c r="L67" s="15" t="str">
        <x:f>INDEX(Clientes!$F$2:$F$101,MATCH(C67,Clientes!$A$2:$A$101,0))</x:f>
        <x:v>SP</x:v>
      </x:c>
    </x:row>
    <x:row r="68" ht="20" customHeight="1">
      <x:c r="A68" s="13" t="str">
        <x:v>PED00067</x:v>
      </x:c>
      <x:c r="B68" s="19" t="n">
        <x:v>46134</x:v>
      </x:c>
      <x:c r="C68" s="14" t="str">
        <x:v>CLI0046</x:v>
      </x:c>
      <x:c r="D68" s="14" t="str">
        <x:f>INDEX(Clientes!$B$2:$B$101,MATCH(C68,Clientes!$A$2:$A$101,0))</x:f>
        <x:v>Gustavo Ibrahim Queiroz</x:v>
      </x:c>
      <x:c r="E68" s="14" t="str">
        <x:v>PROD009</x:v>
      </x:c>
      <x:c r="F68" s="14" t="str">
        <x:f>INDEX(Produtos!$B$2:$B$11,MATCH(E68,Produtos!$A$2:$A$11,0))</x:f>
        <x:v>Carregador USB-C</x:v>
      </x:c>
      <x:c r="G68" s="18" t="n">
        <x:v>3</x:v>
      </x:c>
      <x:c r="H68" s="17" t="n">
        <x:f>INDEX(Produtos!$D$2:$D$11,MATCH(E68,Produtos!$A$2:$A$11,0))</x:f>
        <x:v>59.9</x:v>
      </x:c>
      <x:c r="I68" s="17" t="n">
        <x:f>G68*H68</x:f>
        <x:v>179.7</x:v>
      </x:c>
      <x:c r="J68" s="14" t="str">
        <x:v>Cartão de crédito</x:v>
      </x:c>
      <x:c r="K68" s="14" t="str">
        <x:v>Entregue</x:v>
      </x:c>
      <x:c r="L68" s="15" t="str">
        <x:f>INDEX(Clientes!$F$2:$F$101,MATCH(C68,Clientes!$A$2:$A$101,0))</x:f>
        <x:v>SC</x:v>
      </x:c>
    </x:row>
    <x:row r="69" ht="20" customHeight="1">
      <x:c r="A69" s="13" t="str">
        <x:v>PED00068</x:v>
      </x:c>
      <x:c r="B69" s="19" t="n">
        <x:v>46224</x:v>
      </x:c>
      <x:c r="C69" s="14" t="str">
        <x:v>CLI0020</x:v>
      </x:c>
      <x:c r="D69" s="14" t="str">
        <x:f>INDEX(Clientes!$B$2:$B$101,MATCH(C69,Clientes!$A$2:$A$101,0))</x:f>
        <x:v>João Esteves Garcia</x:v>
      </x:c>
      <x:c r="E69" s="14" t="str">
        <x:v>PROD001</x:v>
      </x:c>
      <x:c r="F69" s="14" t="str">
        <x:f>INDEX(Produtos!$B$2:$B$11,MATCH(E69,Produtos!$A$2:$A$11,0))</x:f>
        <x:v>Caderno Universitário</x:v>
      </x:c>
      <x:c r="G69" s="18" t="n">
        <x:v>1</x:v>
      </x:c>
      <x:c r="H69" s="17" t="n">
        <x:f>INDEX(Produtos!$D$2:$D$11,MATCH(E69,Produtos!$A$2:$A$11,0))</x:f>
        <x:v>24.9</x:v>
      </x:c>
      <x:c r="I69" s="17" t="n">
        <x:f>G69*H69</x:f>
        <x:v>24.9</x:v>
      </x:c>
      <x:c r="J69" s="14" t="str">
        <x:v>Boleto</x:v>
      </x:c>
      <x:c r="K69" s="14" t="str">
        <x:v>Processando</x:v>
      </x:c>
      <x:c r="L69" s="15" t="str">
        <x:f>INDEX(Clientes!$F$2:$F$101,MATCH(C69,Clientes!$A$2:$A$101,0))</x:f>
        <x:v>MG</x:v>
      </x:c>
    </x:row>
    <x:row r="70" ht="20" customHeight="1">
      <x:c r="A70" s="13" t="str">
        <x:v>PED00069</x:v>
      </x:c>
      <x:c r="B70" s="19" t="n">
        <x:v>46055</x:v>
      </x:c>
      <x:c r="C70" s="14" t="str">
        <x:v>CLI0038</x:v>
      </x:c>
      <x:c r="D70" s="14" t="str">
        <x:f>INDEX(Clientes!$B$2:$B$101,MATCH(C70,Clientes!$A$2:$A$101,0))</x:f>
        <x:v>Pedro Ramos Junqueira</x:v>
      </x:c>
      <x:c r="E70" s="14" t="str">
        <x:v>PROD001</x:v>
      </x:c>
      <x:c r="F70" s="14" t="str">
        <x:f>INDEX(Produtos!$B$2:$B$11,MATCH(E70,Produtos!$A$2:$A$11,0))</x:f>
        <x:v>Caderno Universitário</x:v>
      </x:c>
      <x:c r="G70" s="18" t="n">
        <x:v>7</x:v>
      </x:c>
      <x:c r="H70" s="17" t="n">
        <x:f>INDEX(Produtos!$D$2:$D$11,MATCH(E70,Produtos!$A$2:$A$11,0))</x:f>
        <x:v>24.9</x:v>
      </x:c>
      <x:c r="I70" s="17" t="n">
        <x:f>G70*H70</x:f>
        <x:v>174.29999999999998</x:v>
      </x:c>
      <x:c r="J70" s="14" t="str">
        <x:v>Cartão de crédito</x:v>
      </x:c>
      <x:c r="K70" s="14" t="str">
        <x:v>Entregue</x:v>
      </x:c>
      <x:c r="L70" s="15" t="str">
        <x:f>INDEX(Clientes!$F$2:$F$101,MATCH(C70,Clientes!$A$2:$A$101,0))</x:f>
        <x:v>SC</x:v>
      </x:c>
    </x:row>
    <x:row r="71" ht="20" customHeight="1">
      <x:c r="A71" s="13" t="str">
        <x:v>PED00070</x:v>
      </x:c>
      <x:c r="B71" s="19" t="n">
        <x:v>46073</x:v>
      </x:c>
      <x:c r="C71" s="14" t="str">
        <x:v>CLI0084</x:v>
      </x:c>
      <x:c r="D71" s="14" t="str">
        <x:f>INDEX(Clientes!$B$2:$B$101,MATCH(C71,Clientes!$A$2:$A$101,0))</x:f>
        <x:v>Lucas Ibrahim Garcia</x:v>
      </x:c>
      <x:c r="E71" s="14" t="str">
        <x:v>PROD009</x:v>
      </x:c>
      <x:c r="F71" s="14" t="str">
        <x:f>INDEX(Produtos!$B$2:$B$11,MATCH(E71,Produtos!$A$2:$A$11,0))</x:f>
        <x:v>Carregador USB-C</x:v>
      </x:c>
      <x:c r="G71" s="18" t="n">
        <x:v>5</x:v>
      </x:c>
      <x:c r="H71" s="17" t="n">
        <x:f>INDEX(Produtos!$D$2:$D$11,MATCH(E71,Produtos!$A$2:$A$11,0))</x:f>
        <x:v>59.9</x:v>
      </x:c>
      <x:c r="I71" s="17" t="n">
        <x:f>G71*H71</x:f>
        <x:v>299.5</x:v>
      </x:c>
      <x:c r="J71" s="14" t="str">
        <x:v>Boleto</x:v>
      </x:c>
      <x:c r="K71" s="14" t="str">
        <x:v>Processando</x:v>
      </x:c>
      <x:c r="L71" s="15" t="str">
        <x:f>INDEX(Clientes!$F$2:$F$101,MATCH(C71,Clientes!$A$2:$A$101,0))</x:f>
        <x:v>PR</x:v>
      </x:c>
    </x:row>
    <x:row r="72" ht="20" customHeight="1">
      <x:c r="A72" s="13" t="str">
        <x:v>PED00071</x:v>
      </x:c>
      <x:c r="B72" s="19" t="n">
        <x:v>46103</x:v>
      </x:c>
      <x:c r="C72" s="14" t="str">
        <x:v>CLI0054</x:v>
      </x:c>
      <x:c r="D72" s="14" t="str">
        <x:f>INDEX(Clientes!$B$2:$B$101,MATCH(C72,Clientes!$A$2:$A$101,0))</x:f>
        <x:v>Lucas Farias Ferreira</x:v>
      </x:c>
      <x:c r="E72" s="14" t="str">
        <x:v>PROD007</x:v>
      </x:c>
      <x:c r="F72" s="14" t="str">
        <x:f>INDEX(Produtos!$B$2:$B$11,MATCH(E72,Produtos!$A$2:$A$11,0))</x:f>
        <x:v>Caneca Cerâmica</x:v>
      </x:c>
      <x:c r="G72" s="18" t="n">
        <x:v>3</x:v>
      </x:c>
      <x:c r="H72" s="17" t="n">
        <x:f>INDEX(Produtos!$D$2:$D$11,MATCH(E72,Produtos!$A$2:$A$11,0))</x:f>
        <x:v>32</x:v>
      </x:c>
      <x:c r="I72" s="17" t="n">
        <x:f>G72*H72</x:f>
        <x:v>96</x:v>
      </x:c>
      <x:c r="J72" s="14" t="str">
        <x:v>Cartão de crédito</x:v>
      </x:c>
      <x:c r="K72" s="14" t="str">
        <x:v>Entregue</x:v>
      </x:c>
      <x:c r="L72" s="15" t="str">
        <x:f>INDEX(Clientes!$F$2:$F$101,MATCH(C72,Clientes!$A$2:$A$101,0))</x:f>
        <x:v>SC</x:v>
      </x:c>
    </x:row>
    <x:row r="73" ht="20" customHeight="1">
      <x:c r="A73" s="13" t="str">
        <x:v>PED00072</x:v>
      </x:c>
      <x:c r="B73" s="19" t="n">
        <x:v>46175</x:v>
      </x:c>
      <x:c r="C73" s="14" t="str">
        <x:v>CLI0100</x:v>
      </x:c>
      <x:c r="D73" s="14" t="str">
        <x:f>INDEX(Clientes!$B$2:$B$101,MATCH(C73,Clientes!$A$2:$A$101,0))</x:f>
        <x:v>Igor Ramos Silva</x:v>
      </x:c>
      <x:c r="E73" s="14" t="str">
        <x:v>PROD007</x:v>
      </x:c>
      <x:c r="F73" s="14" t="str">
        <x:f>INDEX(Produtos!$B$2:$B$11,MATCH(E73,Produtos!$A$2:$A$11,0))</x:f>
        <x:v>Caneca Cerâmica</x:v>
      </x:c>
      <x:c r="G73" s="18" t="n">
        <x:v>1</x:v>
      </x:c>
      <x:c r="H73" s="17" t="n">
        <x:f>INDEX(Produtos!$D$2:$D$11,MATCH(E73,Produtos!$A$2:$A$11,0))</x:f>
        <x:v>32</x:v>
      </x:c>
      <x:c r="I73" s="17" t="n">
        <x:f>G73*H73</x:f>
        <x:v>32</x:v>
      </x:c>
      <x:c r="J73" s="14" t="str">
        <x:v>Boleto</x:v>
      </x:c>
      <x:c r="K73" s="14" t="str">
        <x:v>Processando</x:v>
      </x:c>
      <x:c r="L73" s="15" t="str">
        <x:f>INDEX(Clientes!$F$2:$F$101,MATCH(C73,Clientes!$A$2:$A$101,0))</x:f>
        <x:v>SP</x:v>
      </x:c>
    </x:row>
    <x:row r="74" ht="20" customHeight="1">
      <x:c r="A74" s="13" t="str">
        <x:v>PED00073</x:v>
      </x:c>
      <x:c r="B74" s="19" t="n">
        <x:v>46039</x:v>
      </x:c>
      <x:c r="C74" s="14" t="str">
        <x:v>CLI0046</x:v>
      </x:c>
      <x:c r="D74" s="14" t="str">
        <x:f>INDEX(Clientes!$B$2:$B$101,MATCH(C74,Clientes!$A$2:$A$101,0))</x:f>
        <x:v>Gustavo Ibrahim Queiroz</x:v>
      </x:c>
      <x:c r="E74" s="14" t="str">
        <x:v>PROD005</x:v>
      </x:c>
      <x:c r="F74" s="14" t="str">
        <x:f>INDEX(Produtos!$B$2:$B$11,MATCH(E74,Produtos!$A$2:$A$11,0))</x:f>
        <x:v>Luminária de Mesa LED</x:v>
      </x:c>
      <x:c r="G74" s="18" t="n">
        <x:v>7</x:v>
      </x:c>
      <x:c r="H74" s="17" t="n">
        <x:f>INDEX(Produtos!$D$2:$D$11,MATCH(E74,Produtos!$A$2:$A$11,0))</x:f>
        <x:v>89.5</x:v>
      </x:c>
      <x:c r="I74" s="17" t="n">
        <x:f>G74*H74</x:f>
        <x:v>626.5</x:v>
      </x:c>
      <x:c r="J74" s="14" t="str">
        <x:v>Cartão de crédito</x:v>
      </x:c>
      <x:c r="K74" s="14" t="str">
        <x:v>Entregue</x:v>
      </x:c>
      <x:c r="L74" s="15" t="str">
        <x:f>INDEX(Clientes!$F$2:$F$101,MATCH(C74,Clientes!$A$2:$A$101,0))</x:f>
        <x:v>SC</x:v>
      </x:c>
    </x:row>
    <x:row r="75" ht="20" customHeight="1">
      <x:c r="A75" s="13" t="str">
        <x:v>PED00074</x:v>
      </x:c>
      <x:c r="B75" s="19" t="n">
        <x:v>46277</x:v>
      </x:c>
      <x:c r="C75" s="14" t="str">
        <x:v>CLI0016</x:v>
      </x:c>
      <x:c r="D75" s="14" t="str">
        <x:f>INDEX(Clientes!$B$2:$B$101,MATCH(C75,Clientes!$A$2:$A$101,0))</x:f>
        <x:v>Lucas Costa Junqueira</x:v>
      </x:c>
      <x:c r="E75" s="14" t="str">
        <x:v>PROD007</x:v>
      </x:c>
      <x:c r="F75" s="14" t="str">
        <x:f>INDEX(Produtos!$B$2:$B$11,MATCH(E75,Produtos!$A$2:$A$11,0))</x:f>
        <x:v>Caneca Cerâmica</x:v>
      </x:c>
      <x:c r="G75" s="18" t="n">
        <x:v>5</x:v>
      </x:c>
      <x:c r="H75" s="17" t="n">
        <x:f>INDEX(Produtos!$D$2:$D$11,MATCH(E75,Produtos!$A$2:$A$11,0))</x:f>
        <x:v>32</x:v>
      </x:c>
      <x:c r="I75" s="17" t="n">
        <x:f>G75*H75</x:f>
        <x:v>160</x:v>
      </x:c>
      <x:c r="J75" s="14" t="str">
        <x:v>Boleto</x:v>
      </x:c>
      <x:c r="K75" s="14" t="str">
        <x:v>Processando</x:v>
      </x:c>
      <x:c r="L75" s="15" t="str">
        <x:f>INDEX(Clientes!$F$2:$F$101,MATCH(C75,Clientes!$A$2:$A$101,0))</x:f>
        <x:v>MG</x:v>
      </x:c>
    </x:row>
    <x:row r="76" ht="20" customHeight="1">
      <x:c r="A76" s="13" t="str">
        <x:v>PED00075</x:v>
      </x:c>
      <x:c r="B76" s="19" t="n">
        <x:v>46292</x:v>
      </x:c>
      <x:c r="C76" s="14" t="str">
        <x:v>CLI0090</x:v>
      </x:c>
      <x:c r="D76" s="14" t="str">
        <x:f>INDEX(Clientes!$B$2:$B$101,MATCH(C76,Clientes!$A$2:$A$101,0))</x:f>
        <x:v>Bruno Pereira Silva</x:v>
      </x:c>
      <x:c r="E76" s="14" t="str">
        <x:v>PROD003</x:v>
      </x:c>
      <x:c r="F76" s="14" t="str">
        <x:f>INDEX(Produtos!$B$2:$B$11,MATCH(E76,Produtos!$A$2:$A$11,0))</x:f>
        <x:v>Fone Bluetooth</x:v>
      </x:c>
      <x:c r="G76" s="18" t="n">
        <x:v>3</x:v>
      </x:c>
      <x:c r="H76" s="17" t="n">
        <x:f>INDEX(Produtos!$D$2:$D$11,MATCH(E76,Produtos!$A$2:$A$11,0))</x:f>
        <x:v>129.9</x:v>
      </x:c>
      <x:c r="I76" s="17" t="n">
        <x:f>G76*H76</x:f>
        <x:v>389.70000000000005</x:v>
      </x:c>
      <x:c r="J76" s="14" t="str">
        <x:v>Cartão de crédito</x:v>
      </x:c>
      <x:c r="K76" s="14" t="str">
        <x:v>Entregue</x:v>
      </x:c>
      <x:c r="L76" s="15" t="str">
        <x:f>INDEX(Clientes!$F$2:$F$101,MATCH(C76,Clientes!$A$2:$A$101,0))</x:f>
        <x:v>BA</x:v>
      </x:c>
    </x:row>
    <x:row r="77" ht="20" customHeight="1">
      <x:c r="A77" s="13" t="str">
        <x:v>PED00076</x:v>
      </x:c>
      <x:c r="B77" s="19" t="n">
        <x:v>46067</x:v>
      </x:c>
      <x:c r="C77" s="14" t="str">
        <x:v>CLI0016</x:v>
      </x:c>
      <x:c r="D77" s="14" t="str">
        <x:f>INDEX(Clientes!$B$2:$B$101,MATCH(C77,Clientes!$A$2:$A$101,0))</x:f>
        <x:v>Lucas Costa Junqueira</x:v>
      </x:c>
      <x:c r="E77" s="14" t="str">
        <x:v>PROD009</x:v>
      </x:c>
      <x:c r="F77" s="14" t="str">
        <x:f>INDEX(Produtos!$B$2:$B$11,MATCH(E77,Produtos!$A$2:$A$11,0))</x:f>
        <x:v>Carregador USB-C</x:v>
      </x:c>
      <x:c r="G77" s="18" t="n">
        <x:v>1</x:v>
      </x:c>
      <x:c r="H77" s="17" t="n">
        <x:f>INDEX(Produtos!$D$2:$D$11,MATCH(E77,Produtos!$A$2:$A$11,0))</x:f>
        <x:v>59.9</x:v>
      </x:c>
      <x:c r="I77" s="17" t="n">
        <x:f>G77*H77</x:f>
        <x:v>59.9</x:v>
      </x:c>
      <x:c r="J77" s="14" t="str">
        <x:v>Boleto</x:v>
      </x:c>
      <x:c r="K77" s="14" t="str">
        <x:v>Processando</x:v>
      </x:c>
      <x:c r="L77" s="15" t="str">
        <x:f>INDEX(Clientes!$F$2:$F$101,MATCH(C77,Clientes!$A$2:$A$101,0))</x:f>
        <x:v>MG</x:v>
      </x:c>
    </x:row>
    <x:row r="78" ht="20" customHeight="1">
      <x:c r="A78" s="13" t="str">
        <x:v>PED00077</x:v>
      </x:c>
      <x:c r="B78" s="19" t="n">
        <x:v>46091</x:v>
      </x:c>
      <x:c r="C78" s="14" t="str">
        <x:v>CLI0058</x:v>
      </x:c>
      <x:c r="D78" s="14" t="str">
        <x:f>INDEX(Clientes!$B$2:$B$101,MATCH(C78,Clientes!$A$2:$A$101,0))</x:f>
        <x:v>Igor Pereira Duarte</x:v>
      </x:c>
      <x:c r="E78" s="14" t="str">
        <x:v>PROD009</x:v>
      </x:c>
      <x:c r="F78" s="14" t="str">
        <x:f>INDEX(Produtos!$B$2:$B$11,MATCH(E78,Produtos!$A$2:$A$11,0))</x:f>
        <x:v>Carregador USB-C</x:v>
      </x:c>
      <x:c r="G78" s="18" t="n">
        <x:v>7</x:v>
      </x:c>
      <x:c r="H78" s="17" t="n">
        <x:f>INDEX(Produtos!$D$2:$D$11,MATCH(E78,Produtos!$A$2:$A$11,0))</x:f>
        <x:v>59.9</x:v>
      </x:c>
      <x:c r="I78" s="17" t="n">
        <x:f>G78*H78</x:f>
        <x:v>419.3</x:v>
      </x:c>
      <x:c r="J78" s="14" t="str">
        <x:v>Cartão de crédito</x:v>
      </x:c>
      <x:c r="K78" s="14" t="str">
        <x:v>Entregue</x:v>
      </x:c>
      <x:c r="L78" s="15" t="str">
        <x:f>INDEX(Clientes!$F$2:$F$101,MATCH(C78,Clientes!$A$2:$A$101,0))</x:f>
        <x:v>MG</x:v>
      </x:c>
    </x:row>
    <x:row r="79" ht="20" customHeight="1">
      <x:c r="A79" s="13" t="str">
        <x:v>PED00078</x:v>
      </x:c>
      <x:c r="B79" s="19" t="n">
        <x:v>46202</x:v>
      </x:c>
      <x:c r="C79" s="14" t="str">
        <x:v>CLI0056</x:v>
      </x:c>
      <x:c r="D79" s="14" t="str">
        <x:f>INDEX(Clientes!$B$2:$B$101,MATCH(C79,Clientes!$A$2:$A$101,0))</x:f>
        <x:v>Gustavo Andrade Souza</x:v>
      </x:c>
      <x:c r="E79" s="14" t="str">
        <x:v>PROD005</x:v>
      </x:c>
      <x:c r="F79" s="14" t="str">
        <x:f>INDEX(Produtos!$B$2:$B$11,MATCH(E79,Produtos!$A$2:$A$11,0))</x:f>
        <x:v>Luminária de Mesa LED</x:v>
      </x:c>
      <x:c r="G79" s="18" t="n">
        <x:v>5</x:v>
      </x:c>
      <x:c r="H79" s="17" t="n">
        <x:f>INDEX(Produtos!$D$2:$D$11,MATCH(E79,Produtos!$A$2:$A$11,0))</x:f>
        <x:v>89.5</x:v>
      </x:c>
      <x:c r="I79" s="17" t="n">
        <x:f>G79*H79</x:f>
        <x:v>447.5</x:v>
      </x:c>
      <x:c r="J79" s="14" t="str">
        <x:v>Boleto</x:v>
      </x:c>
      <x:c r="K79" s="14" t="str">
        <x:v>Processando</x:v>
      </x:c>
      <x:c r="L79" s="15" t="str">
        <x:f>INDEX(Clientes!$F$2:$F$101,MATCH(C79,Clientes!$A$2:$A$101,0))</x:f>
        <x:v>PR</x:v>
      </x:c>
    </x:row>
    <x:row r="80" ht="20" customHeight="1">
      <x:c r="A80" s="13" t="str">
        <x:v>PED00079</x:v>
      </x:c>
      <x:c r="B80" s="19" t="n">
        <x:v>46147</x:v>
      </x:c>
      <x:c r="C80" s="14" t="str">
        <x:v>CLI0062</x:v>
      </x:c>
      <x:c r="D80" s="14" t="str">
        <x:f>INDEX(Clientes!$B$2:$B$101,MATCH(C80,Clientes!$A$2:$A$101,0))</x:f>
        <x:v>Enzo Pereira Duarte</x:v>
      </x:c>
      <x:c r="E80" s="14" t="str">
        <x:v>PROD005</x:v>
      </x:c>
      <x:c r="F80" s="14" t="str">
        <x:f>INDEX(Produtos!$B$2:$B$11,MATCH(E80,Produtos!$A$2:$A$11,0))</x:f>
        <x:v>Luminária de Mesa LED</x:v>
      </x:c>
      <x:c r="G80" s="18" t="n">
        <x:v>3</x:v>
      </x:c>
      <x:c r="H80" s="17" t="n">
        <x:f>INDEX(Produtos!$D$2:$D$11,MATCH(E80,Produtos!$A$2:$A$11,0))</x:f>
        <x:v>89.5</x:v>
      </x:c>
      <x:c r="I80" s="17" t="n">
        <x:f>G80*H80</x:f>
        <x:v>268.5</x:v>
      </x:c>
      <x:c r="J80" s="14" t="str">
        <x:v>Cartão de crédito</x:v>
      </x:c>
      <x:c r="K80" s="14" t="str">
        <x:v>Entregue</x:v>
      </x:c>
      <x:c r="L80" s="15" t="str">
        <x:f>INDEX(Clientes!$F$2:$F$101,MATCH(C80,Clientes!$A$2:$A$101,0))</x:f>
        <x:v>SC</x:v>
      </x:c>
    </x:row>
    <x:row r="81" ht="20" customHeight="1">
      <x:c r="A81" s="13" t="str">
        <x:v>PED00080</x:v>
      </x:c>
      <x:c r="B81" s="19" t="n">
        <x:v>46240</x:v>
      </x:c>
      <x:c r="C81" s="14" t="str">
        <x:v>CLI0088</x:v>
      </x:c>
      <x:c r="D81" s="14" t="str">
        <x:f>INDEX(Clientes!$B$2:$B$101,MATCH(C81,Clientes!$A$2:$A$101,0))</x:f>
        <x:v>Samuel Rocha Ferreira</x:v>
      </x:c>
      <x:c r="E81" s="14" t="str">
        <x:v>PROD009</x:v>
      </x:c>
      <x:c r="F81" s="14" t="str">
        <x:f>INDEX(Produtos!$B$2:$B$11,MATCH(E81,Produtos!$A$2:$A$11,0))</x:f>
        <x:v>Carregador USB-C</x:v>
      </x:c>
      <x:c r="G81" s="18" t="n">
        <x:v>1</x:v>
      </x:c>
      <x:c r="H81" s="17" t="n">
        <x:f>INDEX(Produtos!$D$2:$D$11,MATCH(E81,Produtos!$A$2:$A$11,0))</x:f>
        <x:v>59.9</x:v>
      </x:c>
      <x:c r="I81" s="17" t="n">
        <x:f>G81*H81</x:f>
        <x:v>59.9</x:v>
      </x:c>
      <x:c r="J81" s="14" t="str">
        <x:v>Boleto</x:v>
      </x:c>
      <x:c r="K81" s="14" t="str">
        <x:v>Processando</x:v>
      </x:c>
      <x:c r="L81" s="15" t="str">
        <x:f>INDEX(Clientes!$F$2:$F$101,MATCH(C81,Clientes!$A$2:$A$101,0))</x:f>
        <x:v>MG</x:v>
      </x:c>
    </x:row>
    <x:row r="82" ht="20" customHeight="1">
      <x:c r="A82" s="13" t="str">
        <x:v>PED00081</x:v>
      </x:c>
      <x:c r="B82" s="19" t="n">
        <x:v>46246</x:v>
      </x:c>
      <x:c r="C82" s="14" t="str">
        <x:v>CLI0014</x:v>
      </x:c>
      <x:c r="D82" s="14" t="str">
        <x:f>INDEX(Clientes!$B$2:$B$101,MATCH(C82,Clientes!$A$2:$A$101,0))</x:f>
        <x:v>Enzo Andrade Duarte</x:v>
      </x:c>
      <x:c r="E82" s="14" t="str">
        <x:v>PROD005</x:v>
      </x:c>
      <x:c r="F82" s="14" t="str">
        <x:f>INDEX(Produtos!$B$2:$B$11,MATCH(E82,Produtos!$A$2:$A$11,0))</x:f>
        <x:v>Luminária de Mesa LED</x:v>
      </x:c>
      <x:c r="G82" s="18" t="n">
        <x:v>7</x:v>
      </x:c>
      <x:c r="H82" s="17" t="n">
        <x:f>INDEX(Produtos!$D$2:$D$11,MATCH(E82,Produtos!$A$2:$A$11,0))</x:f>
        <x:v>89.5</x:v>
      </x:c>
      <x:c r="I82" s="17" t="n">
        <x:f>G82*H82</x:f>
        <x:v>626.5</x:v>
      </x:c>
      <x:c r="J82" s="14" t="str">
        <x:v>Cartão de crédito</x:v>
      </x:c>
      <x:c r="K82" s="14" t="str">
        <x:v>Entregue</x:v>
      </x:c>
      <x:c r="L82" s="15" t="str">
        <x:f>INDEX(Clientes!$F$2:$F$101,MATCH(C82,Clientes!$A$2:$A$101,0))</x:f>
        <x:v>PR</x:v>
      </x:c>
    </x:row>
    <x:row r="83" ht="20" customHeight="1">
      <x:c r="A83" s="13" t="str">
        <x:v>PED00082</x:v>
      </x:c>
      <x:c r="B83" s="19" t="n">
        <x:v>46292</x:v>
      </x:c>
      <x:c r="C83" s="14" t="str">
        <x:v>CLI0072</x:v>
      </x:c>
      <x:c r="D83" s="14" t="str">
        <x:f>INDEX(Clientes!$B$2:$B$101,MATCH(C83,Clientes!$A$2:$A$101,0))</x:f>
        <x:v>Leonardo Farias Dias</x:v>
      </x:c>
      <x:c r="E83" s="14" t="str">
        <x:v>PROD001</x:v>
      </x:c>
      <x:c r="F83" s="14" t="str">
        <x:f>INDEX(Produtos!$B$2:$B$11,MATCH(E83,Produtos!$A$2:$A$11,0))</x:f>
        <x:v>Caderno Universitário</x:v>
      </x:c>
      <x:c r="G83" s="18" t="n">
        <x:v>5</x:v>
      </x:c>
      <x:c r="H83" s="17" t="n">
        <x:f>INDEX(Produtos!$D$2:$D$11,MATCH(E83,Produtos!$A$2:$A$11,0))</x:f>
        <x:v>24.9</x:v>
      </x:c>
      <x:c r="I83" s="17" t="n">
        <x:f>G83*H83</x:f>
        <x:v>124.5</x:v>
      </x:c>
      <x:c r="J83" s="14" t="str">
        <x:v>Boleto</x:v>
      </x:c>
      <x:c r="K83" s="14" t="str">
        <x:v>Processando</x:v>
      </x:c>
      <x:c r="L83" s="15" t="str">
        <x:f>INDEX(Clientes!$F$2:$F$101,MATCH(C83,Clientes!$A$2:$A$101,0))</x:f>
        <x:v>SP</x:v>
      </x:c>
    </x:row>
    <x:row r="84" ht="20" customHeight="1">
      <x:c r="A84" s="13" t="str">
        <x:v>PED00083</x:v>
      </x:c>
      <x:c r="B84" s="19" t="n">
        <x:v>46252</x:v>
      </x:c>
      <x:c r="C84" s="14" t="str">
        <x:v>CLI0094</x:v>
      </x:c>
      <x:c r="D84" s="14" t="str">
        <x:f>INDEX(Clientes!$B$2:$B$101,MATCH(C84,Clientes!$A$2:$A$101,0))</x:f>
        <x:v>Daniel Pereira Henrique</x:v>
      </x:c>
      <x:c r="E84" s="14" t="str">
        <x:v>PROD001</x:v>
      </x:c>
      <x:c r="F84" s="14" t="str">
        <x:f>INDEX(Produtos!$B$2:$B$11,MATCH(E84,Produtos!$A$2:$A$11,0))</x:f>
        <x:v>Caderno Universitário</x:v>
      </x:c>
      <x:c r="G84" s="18" t="n">
        <x:v>3</x:v>
      </x:c>
      <x:c r="H84" s="17" t="n">
        <x:f>INDEX(Produtos!$D$2:$D$11,MATCH(E84,Produtos!$A$2:$A$11,0))</x:f>
        <x:v>24.9</x:v>
      </x:c>
      <x:c r="I84" s="17" t="n">
        <x:f>G84*H84</x:f>
        <x:v>74.69999999999999</x:v>
      </x:c>
      <x:c r="J84" s="14" t="str">
        <x:v>Cartão de crédito</x:v>
      </x:c>
      <x:c r="K84" s="14" t="str">
        <x:v>Entregue</x:v>
      </x:c>
      <x:c r="L84" s="15" t="str">
        <x:f>INDEX(Clientes!$F$2:$F$101,MATCH(C84,Clientes!$A$2:$A$101,0))</x:f>
        <x:v>PR</x:v>
      </x:c>
    </x:row>
    <x:row r="85" ht="20" customHeight="1">
      <x:c r="A85" s="13" t="str">
        <x:v>PED00084</x:v>
      </x:c>
      <x:c r="B85" s="19" t="n">
        <x:v>46242</x:v>
      </x:c>
      <x:c r="C85" s="14" t="str">
        <x:v>CLI0100</x:v>
      </x:c>
      <x:c r="D85" s="14" t="str">
        <x:f>INDEX(Clientes!$B$2:$B$101,MATCH(C85,Clientes!$A$2:$A$101,0))</x:f>
        <x:v>Igor Ramos Silva</x:v>
      </x:c>
      <x:c r="E85" s="14" t="str">
        <x:v>PROD001</x:v>
      </x:c>
      <x:c r="F85" s="14" t="str">
        <x:f>INDEX(Produtos!$B$2:$B$11,MATCH(E85,Produtos!$A$2:$A$11,0))</x:f>
        <x:v>Caderno Universitário</x:v>
      </x:c>
      <x:c r="G85" s="18" t="n">
        <x:v>1</x:v>
      </x:c>
      <x:c r="H85" s="17" t="n">
        <x:f>INDEX(Produtos!$D$2:$D$11,MATCH(E85,Produtos!$A$2:$A$11,0))</x:f>
        <x:v>24.9</x:v>
      </x:c>
      <x:c r="I85" s="17" t="n">
        <x:f>G85*H85</x:f>
        <x:v>24.9</x:v>
      </x:c>
      <x:c r="J85" s="14" t="str">
        <x:v>Boleto</x:v>
      </x:c>
      <x:c r="K85" s="14" t="str">
        <x:v>Processando</x:v>
      </x:c>
      <x:c r="L85" s="15" t="str">
        <x:f>INDEX(Clientes!$F$2:$F$101,MATCH(C85,Clientes!$A$2:$A$101,0))</x:f>
        <x:v>SP</x:v>
      </x:c>
    </x:row>
    <x:row r="86" ht="20" customHeight="1">
      <x:c r="A86" s="13" t="str">
        <x:v>PED00085</x:v>
      </x:c>
      <x:c r="B86" s="19" t="n">
        <x:v>46076</x:v>
      </x:c>
      <x:c r="C86" s="14" t="str">
        <x:v>CLI0002</x:v>
      </x:c>
      <x:c r="D86" s="14" t="str">
        <x:f>INDEX(Clientes!$B$2:$B$101,MATCH(C86,Clientes!$A$2:$A$101,0))</x:f>
        <x:v>Enzo Cardoso Mendes</x:v>
      </x:c>
      <x:c r="E86" s="14" t="str">
        <x:v>PROD007</x:v>
      </x:c>
      <x:c r="F86" s="14" t="str">
        <x:f>INDEX(Produtos!$B$2:$B$11,MATCH(E86,Produtos!$A$2:$A$11,0))</x:f>
        <x:v>Caneca Cerâmica</x:v>
      </x:c>
      <x:c r="G86" s="18" t="n">
        <x:v>7</x:v>
      </x:c>
      <x:c r="H86" s="17" t="n">
        <x:f>INDEX(Produtos!$D$2:$D$11,MATCH(E86,Produtos!$A$2:$A$11,0))</x:f>
        <x:v>32</x:v>
      </x:c>
      <x:c r="I86" s="17" t="n">
        <x:f>G86*H86</x:f>
        <x:v>224</x:v>
      </x:c>
      <x:c r="J86" s="14" t="str">
        <x:v>Cartão de crédito</x:v>
      </x:c>
      <x:c r="K86" s="14" t="str">
        <x:v>Entregue</x:v>
      </x:c>
      <x:c r="L86" s="15" t="str">
        <x:f>INDEX(Clientes!$F$2:$F$101,MATCH(C86,Clientes!$A$2:$A$101,0))</x:f>
        <x:v>PR</x:v>
      </x:c>
    </x:row>
    <x:row r="87" ht="20" customHeight="1">
      <x:c r="A87" s="13" t="str">
        <x:v>PED00086</x:v>
      </x:c>
      <x:c r="B87" s="19" t="n">
        <x:v>46049</x:v>
      </x:c>
      <x:c r="C87" s="14" t="str">
        <x:v>CLI0008</x:v>
      </x:c>
      <x:c r="D87" s="14" t="str">
        <x:f>INDEX(Clientes!$B$2:$B$101,MATCH(C87,Clientes!$A$2:$A$101,0))</x:f>
        <x:v>Enzo Esteves Junqueira</x:v>
      </x:c>
      <x:c r="E87" s="14" t="str">
        <x:v>PROD003</x:v>
      </x:c>
      <x:c r="F87" s="14" t="str">
        <x:f>INDEX(Produtos!$B$2:$B$11,MATCH(E87,Produtos!$A$2:$A$11,0))</x:f>
        <x:v>Fone Bluetooth</x:v>
      </x:c>
      <x:c r="G87" s="18" t="n">
        <x:v>5</x:v>
      </x:c>
      <x:c r="H87" s="17" t="n">
        <x:f>INDEX(Produtos!$D$2:$D$11,MATCH(E87,Produtos!$A$2:$A$11,0))</x:f>
        <x:v>129.9</x:v>
      </x:c>
      <x:c r="I87" s="17" t="n">
        <x:f>G87*H87</x:f>
        <x:v>649.5</x:v>
      </x:c>
      <x:c r="J87" s="14" t="str">
        <x:v>Boleto</x:v>
      </x:c>
      <x:c r="K87" s="14" t="str">
        <x:v>Processando</x:v>
      </x:c>
      <x:c r="L87" s="15" t="str">
        <x:f>INDEX(Clientes!$F$2:$F$101,MATCH(C87,Clientes!$A$2:$A$101,0))</x:f>
        <x:v>PR</x:v>
      </x:c>
    </x:row>
    <x:row r="88" ht="20" customHeight="1">
      <x:c r="A88" s="13" t="str">
        <x:v>PED00087</x:v>
      </x:c>
      <x:c r="B88" s="19" t="n">
        <x:v>46191</x:v>
      </x:c>
      <x:c r="C88" s="14" t="str">
        <x:v>CLI0082</x:v>
      </x:c>
      <x:c r="D88" s="14" t="str">
        <x:f>INDEX(Clientes!$B$2:$B$101,MATCH(C88,Clientes!$A$2:$A$101,0))</x:f>
        <x:v>Bruno Esteves Barbosa</x:v>
      </x:c>
      <x:c r="E88" s="14" t="str">
        <x:v>PROD009</x:v>
      </x:c>
      <x:c r="F88" s="14" t="str">
        <x:f>INDEX(Produtos!$B$2:$B$11,MATCH(E88,Produtos!$A$2:$A$11,0))</x:f>
        <x:v>Carregador USB-C</x:v>
      </x:c>
      <x:c r="G88" s="18" t="n">
        <x:v>3</x:v>
      </x:c>
      <x:c r="H88" s="17" t="n">
        <x:f>INDEX(Produtos!$D$2:$D$11,MATCH(E88,Produtos!$A$2:$A$11,0))</x:f>
        <x:v>59.9</x:v>
      </x:c>
      <x:c r="I88" s="17" t="n">
        <x:f>G88*H88</x:f>
        <x:v>179.7</x:v>
      </x:c>
      <x:c r="J88" s="14" t="str">
        <x:v>Cartão de crédito</x:v>
      </x:c>
      <x:c r="K88" s="14" t="str">
        <x:v>Entregue</x:v>
      </x:c>
      <x:c r="L88" s="15" t="str">
        <x:f>INDEX(Clientes!$F$2:$F$101,MATCH(C88,Clientes!$A$2:$A$101,0))</x:f>
        <x:v>SC</x:v>
      </x:c>
    </x:row>
    <x:row r="89" ht="20" customHeight="1">
      <x:c r="A89" s="13" t="str">
        <x:v>PED00088</x:v>
      </x:c>
      <x:c r="B89" s="19" t="n">
        <x:v>46158</x:v>
      </x:c>
      <x:c r="C89" s="14" t="str">
        <x:v>CLI0084</x:v>
      </x:c>
      <x:c r="D89" s="14" t="str">
        <x:f>INDEX(Clientes!$B$2:$B$101,MATCH(C89,Clientes!$A$2:$A$101,0))</x:f>
        <x:v>Lucas Ibrahim Garcia</x:v>
      </x:c>
      <x:c r="E89" s="14" t="str">
        <x:v>PROD009</x:v>
      </x:c>
      <x:c r="F89" s="14" t="str">
        <x:f>INDEX(Produtos!$B$2:$B$11,MATCH(E89,Produtos!$A$2:$A$11,0))</x:f>
        <x:v>Carregador USB-C</x:v>
      </x:c>
      <x:c r="G89" s="18" t="n">
        <x:v>1</x:v>
      </x:c>
      <x:c r="H89" s="17" t="n">
        <x:f>INDEX(Produtos!$D$2:$D$11,MATCH(E89,Produtos!$A$2:$A$11,0))</x:f>
        <x:v>59.9</x:v>
      </x:c>
      <x:c r="I89" s="17" t="n">
        <x:f>G89*H89</x:f>
        <x:v>59.9</x:v>
      </x:c>
      <x:c r="J89" s="14" t="str">
        <x:v>Boleto</x:v>
      </x:c>
      <x:c r="K89" s="14" t="str">
        <x:v>Processando</x:v>
      </x:c>
      <x:c r="L89" s="15" t="str">
        <x:f>INDEX(Clientes!$F$2:$F$101,MATCH(C89,Clientes!$A$2:$A$101,0))</x:f>
        <x:v>PR</x:v>
      </x:c>
    </x:row>
    <x:row r="90" ht="20" customHeight="1">
      <x:c r="A90" s="13" t="str">
        <x:v>PED00089</x:v>
      </x:c>
      <x:c r="B90" s="19" t="n">
        <x:v>46186</x:v>
      </x:c>
      <x:c r="C90" s="14" t="str">
        <x:v>CLI0078</x:v>
      </x:c>
      <x:c r="D90" s="14" t="str">
        <x:f>INDEX(Clientes!$B$2:$B$101,MATCH(C90,Clientes!$A$2:$A$101,0))</x:f>
        <x:v>Lucas Gomes Queiroz</x:v>
      </x:c>
      <x:c r="E90" s="14" t="str">
        <x:v>PROD005</x:v>
      </x:c>
      <x:c r="F90" s="14" t="str">
        <x:f>INDEX(Produtos!$B$2:$B$11,MATCH(E90,Produtos!$A$2:$A$11,0))</x:f>
        <x:v>Luminária de Mesa LED</x:v>
      </x:c>
      <x:c r="G90" s="18" t="n">
        <x:v>7</x:v>
      </x:c>
      <x:c r="H90" s="17" t="n">
        <x:f>INDEX(Produtos!$D$2:$D$11,MATCH(E90,Produtos!$A$2:$A$11,0))</x:f>
        <x:v>89.5</x:v>
      </x:c>
      <x:c r="I90" s="17" t="n">
        <x:f>G90*H90</x:f>
        <x:v>626.5</x:v>
      </x:c>
      <x:c r="J90" s="14" t="str">
        <x:v>Cartão de crédito</x:v>
      </x:c>
      <x:c r="K90" s="14" t="str">
        <x:v>Entregue</x:v>
      </x:c>
      <x:c r="L90" s="15" t="str">
        <x:f>INDEX(Clientes!$F$2:$F$101,MATCH(C90,Clientes!$A$2:$A$101,0))</x:f>
        <x:v>SP</x:v>
      </x:c>
    </x:row>
    <x:row r="91" ht="20" customHeight="1">
      <x:c r="A91" s="13" t="str">
        <x:v>PED00090</x:v>
      </x:c>
      <x:c r="B91" s="19" t="n">
        <x:v>46287</x:v>
      </x:c>
      <x:c r="C91" s="14" t="str">
        <x:v>CLI0068</x:v>
      </x:c>
      <x:c r="D91" s="14" t="str">
        <x:f>INDEX(Clientes!$B$2:$B$101,MATCH(C91,Clientes!$A$2:$A$101,0))</x:f>
        <x:v>Igor Andrade Machado</x:v>
      </x:c>
      <x:c r="E91" s="14" t="str">
        <x:v>PROD003</x:v>
      </x:c>
      <x:c r="F91" s="14" t="str">
        <x:f>INDEX(Produtos!$B$2:$B$11,MATCH(E91,Produtos!$A$2:$A$11,0))</x:f>
        <x:v>Fone Bluetooth</x:v>
      </x:c>
      <x:c r="G91" s="18" t="n">
        <x:v>5</x:v>
      </x:c>
      <x:c r="H91" s="17" t="n">
        <x:f>INDEX(Produtos!$D$2:$D$11,MATCH(E91,Produtos!$A$2:$A$11,0))</x:f>
        <x:v>129.9</x:v>
      </x:c>
      <x:c r="I91" s="17" t="n">
        <x:f>G91*H91</x:f>
        <x:v>649.5</x:v>
      </x:c>
      <x:c r="J91" s="14" t="str">
        <x:v>Boleto</x:v>
      </x:c>
      <x:c r="K91" s="14" t="str">
        <x:v>Processando</x:v>
      </x:c>
      <x:c r="L91" s="15" t="str">
        <x:f>INDEX(Clientes!$F$2:$F$101,MATCH(C91,Clientes!$A$2:$A$101,0))</x:f>
        <x:v>SP</x:v>
      </x:c>
    </x:row>
    <x:row r="92" ht="20" customHeight="1">
      <x:c r="A92" s="13" t="str">
        <x:v>PED00091</x:v>
      </x:c>
      <x:c r="B92" s="19" t="n">
        <x:v>46257</x:v>
      </x:c>
      <x:c r="C92" s="14" t="str">
        <x:v>CLI0018</x:v>
      </x:c>
      <x:c r="D92" s="14" t="str">
        <x:f>INDEX(Clientes!$B$2:$B$101,MATCH(C92,Clientes!$A$2:$A$101,0))</x:f>
        <x:v>Bruno Cardoso Dias</x:v>
      </x:c>
      <x:c r="E92" s="14" t="str">
        <x:v>PROD009</x:v>
      </x:c>
      <x:c r="F92" s="14" t="str">
        <x:f>INDEX(Produtos!$B$2:$B$11,MATCH(E92,Produtos!$A$2:$A$11,0))</x:f>
        <x:v>Carregador USB-C</x:v>
      </x:c>
      <x:c r="G92" s="18" t="n">
        <x:v>3</x:v>
      </x:c>
      <x:c r="H92" s="17" t="n">
        <x:f>INDEX(Produtos!$D$2:$D$11,MATCH(E92,Produtos!$A$2:$A$11,0))</x:f>
        <x:v>59.9</x:v>
      </x:c>
      <x:c r="I92" s="17" t="n">
        <x:f>G92*H92</x:f>
        <x:v>179.7</x:v>
      </x:c>
      <x:c r="J92" s="14" t="str">
        <x:v>Cartão de crédito</x:v>
      </x:c>
      <x:c r="K92" s="14" t="str">
        <x:v>Entregue</x:v>
      </x:c>
      <x:c r="L92" s="15" t="str">
        <x:f>INDEX(Clientes!$F$2:$F$101,MATCH(C92,Clientes!$A$2:$A$101,0))</x:f>
        <x:v>BA</x:v>
      </x:c>
    </x:row>
    <x:row r="93" ht="20" customHeight="1">
      <x:c r="A93" s="13" t="str">
        <x:v>PED00092</x:v>
      </x:c>
      <x:c r="B93" s="19" t="n">
        <x:v>46283</x:v>
      </x:c>
      <x:c r="C93" s="14" t="str">
        <x:v>CLI0096</x:v>
      </x:c>
      <x:c r="D93" s="14" t="str">
        <x:f>INDEX(Clientes!$B$2:$B$101,MATCH(C93,Clientes!$A$2:$A$101,0))</x:f>
        <x:v>Bruno Farias Henrique</x:v>
      </x:c>
      <x:c r="E93" s="14" t="str">
        <x:v>PROD009</x:v>
      </x:c>
      <x:c r="F93" s="14" t="str">
        <x:f>INDEX(Produtos!$B$2:$B$11,MATCH(E93,Produtos!$A$2:$A$11,0))</x:f>
        <x:v>Carregador USB-C</x:v>
      </x:c>
      <x:c r="G93" s="18" t="n">
        <x:v>1</x:v>
      </x:c>
      <x:c r="H93" s="17" t="n">
        <x:f>INDEX(Produtos!$D$2:$D$11,MATCH(E93,Produtos!$A$2:$A$11,0))</x:f>
        <x:v>59.9</x:v>
      </x:c>
      <x:c r="I93" s="17" t="n">
        <x:f>G93*H93</x:f>
        <x:v>59.9</x:v>
      </x:c>
      <x:c r="J93" s="14" t="str">
        <x:v>Boleto</x:v>
      </x:c>
      <x:c r="K93" s="14" t="str">
        <x:v>Processando</x:v>
      </x:c>
      <x:c r="L93" s="15" t="str">
        <x:f>INDEX(Clientes!$F$2:$F$101,MATCH(C93,Clientes!$A$2:$A$101,0))</x:f>
        <x:v>MG</x:v>
      </x:c>
    </x:row>
    <x:row r="94" ht="20" customHeight="1">
      <x:c r="A94" s="13" t="str">
        <x:v>PED00093</x:v>
      </x:c>
      <x:c r="B94" s="19" t="n">
        <x:v>46271</x:v>
      </x:c>
      <x:c r="C94" s="14" t="str">
        <x:v>CLI0034</x:v>
      </x:c>
      <x:c r="D94" s="14" t="str">
        <x:f>INDEX(Clientes!$B$2:$B$101,MATCH(C94,Clientes!$A$2:$A$101,0))</x:f>
        <x:v>Igor Nascimento Garcia</x:v>
      </x:c>
      <x:c r="E94" s="14" t="str">
        <x:v>PROD005</x:v>
      </x:c>
      <x:c r="F94" s="14" t="str">
        <x:f>INDEX(Produtos!$B$2:$B$11,MATCH(E94,Produtos!$A$2:$A$11,0))</x:f>
        <x:v>Luminária de Mesa LED</x:v>
      </x:c>
      <x:c r="G94" s="18" t="n">
        <x:v>7</x:v>
      </x:c>
      <x:c r="H94" s="17" t="n">
        <x:f>INDEX(Produtos!$D$2:$D$11,MATCH(E94,Produtos!$A$2:$A$11,0))</x:f>
        <x:v>89.5</x:v>
      </x:c>
      <x:c r="I94" s="17" t="n">
        <x:f>G94*H94</x:f>
        <x:v>626.5</x:v>
      </x:c>
      <x:c r="J94" s="14" t="str">
        <x:v>Cartão de crédito</x:v>
      </x:c>
      <x:c r="K94" s="14" t="str">
        <x:v>Entregue</x:v>
      </x:c>
      <x:c r="L94" s="15" t="str">
        <x:f>INDEX(Clientes!$F$2:$F$101,MATCH(C94,Clientes!$A$2:$A$101,0))</x:f>
        <x:v>PR</x:v>
      </x:c>
    </x:row>
    <x:row r="95" ht="20" customHeight="1">
      <x:c r="A95" s="13" t="str">
        <x:v>PED00094</x:v>
      </x:c>
      <x:c r="B95" s="19" t="n">
        <x:v>46232</x:v>
      </x:c>
      <x:c r="C95" s="14" t="str">
        <x:v>CLI0044</x:v>
      </x:c>
      <x:c r="D95" s="14" t="str">
        <x:f>INDEX(Clientes!$B$2:$B$101,MATCH(C95,Clientes!$A$2:$A$101,0))</x:f>
        <x:v>Igor Rocha Garcia</x:v>
      </x:c>
      <x:c r="E95" s="14" t="str">
        <x:v>PROD003</x:v>
      </x:c>
      <x:c r="F95" s="14" t="str">
        <x:f>INDEX(Produtos!$B$2:$B$11,MATCH(E95,Produtos!$A$2:$A$11,0))</x:f>
        <x:v>Fone Bluetooth</x:v>
      </x:c>
      <x:c r="G95" s="18" t="n">
        <x:v>5</x:v>
      </x:c>
      <x:c r="H95" s="17" t="n">
        <x:f>INDEX(Produtos!$D$2:$D$11,MATCH(E95,Produtos!$A$2:$A$11,0))</x:f>
        <x:v>129.9</x:v>
      </x:c>
      <x:c r="I95" s="17" t="n">
        <x:f>G95*H95</x:f>
        <x:v>649.5</x:v>
      </x:c>
      <x:c r="J95" s="14" t="str">
        <x:v>Boleto</x:v>
      </x:c>
      <x:c r="K95" s="14" t="str">
        <x:v>Processando</x:v>
      </x:c>
      <x:c r="L95" s="15" t="str">
        <x:f>INDEX(Clientes!$F$2:$F$101,MATCH(C95,Clientes!$A$2:$A$101,0))</x:f>
        <x:v>SC</x:v>
      </x:c>
    </x:row>
    <x:row r="96" ht="20" customHeight="1">
      <x:c r="A96" s="13" t="str">
        <x:v>PED00095</x:v>
      </x:c>
      <x:c r="B96" s="19" t="n">
        <x:v>46097</x:v>
      </x:c>
      <x:c r="C96" s="14" t="str">
        <x:v>CLI0082</x:v>
      </x:c>
      <x:c r="D96" s="14" t="str">
        <x:f>INDEX(Clientes!$B$2:$B$101,MATCH(C96,Clientes!$A$2:$A$101,0))</x:f>
        <x:v>Bruno Esteves Barbosa</x:v>
      </x:c>
      <x:c r="E96" s="14" t="str">
        <x:v>PROD005</x:v>
      </x:c>
      <x:c r="F96" s="14" t="str">
        <x:f>INDEX(Produtos!$B$2:$B$11,MATCH(E96,Produtos!$A$2:$A$11,0))</x:f>
        <x:v>Luminária de Mesa LED</x:v>
      </x:c>
      <x:c r="G96" s="18" t="n">
        <x:v>3</x:v>
      </x:c>
      <x:c r="H96" s="17" t="n">
        <x:f>INDEX(Produtos!$D$2:$D$11,MATCH(E96,Produtos!$A$2:$A$11,0))</x:f>
        <x:v>89.5</x:v>
      </x:c>
      <x:c r="I96" s="17" t="n">
        <x:f>G96*H96</x:f>
        <x:v>268.5</x:v>
      </x:c>
      <x:c r="J96" s="14" t="str">
        <x:v>Cartão de crédito</x:v>
      </x:c>
      <x:c r="K96" s="14" t="str">
        <x:v>Entregue</x:v>
      </x:c>
      <x:c r="L96" s="15" t="str">
        <x:f>INDEX(Clientes!$F$2:$F$101,MATCH(C96,Clientes!$A$2:$A$101,0))</x:f>
        <x:v>SC</x:v>
      </x:c>
    </x:row>
    <x:row r="97" ht="20" customHeight="1">
      <x:c r="A97" s="13" t="str">
        <x:v>PED00096</x:v>
      </x:c>
      <x:c r="B97" s="19" t="n">
        <x:v>46179</x:v>
      </x:c>
      <x:c r="C97" s="14" t="str">
        <x:v>CLI0096</x:v>
      </x:c>
      <x:c r="D97" s="14" t="str">
        <x:f>INDEX(Clientes!$B$2:$B$101,MATCH(C97,Clientes!$A$2:$A$101,0))</x:f>
        <x:v>Bruno Farias Henrique</x:v>
      </x:c>
      <x:c r="E97" s="14" t="str">
        <x:v>PROD003</x:v>
      </x:c>
      <x:c r="F97" s="14" t="str">
        <x:f>INDEX(Produtos!$B$2:$B$11,MATCH(E97,Produtos!$A$2:$A$11,0))</x:f>
        <x:v>Fone Bluetooth</x:v>
      </x:c>
      <x:c r="G97" s="18" t="n">
        <x:v>1</x:v>
      </x:c>
      <x:c r="H97" s="17" t="n">
        <x:f>INDEX(Produtos!$D$2:$D$11,MATCH(E97,Produtos!$A$2:$A$11,0))</x:f>
        <x:v>129.9</x:v>
      </x:c>
      <x:c r="I97" s="17" t="n">
        <x:f>G97*H97</x:f>
        <x:v>129.9</x:v>
      </x:c>
      <x:c r="J97" s="14" t="str">
        <x:v>Boleto</x:v>
      </x:c>
      <x:c r="K97" s="14" t="str">
        <x:v>Processando</x:v>
      </x:c>
      <x:c r="L97" s="15" t="str">
        <x:f>INDEX(Clientes!$F$2:$F$101,MATCH(C97,Clientes!$A$2:$A$101,0))</x:f>
        <x:v>MG</x:v>
      </x:c>
    </x:row>
    <x:row r="98" ht="20" customHeight="1">
      <x:c r="A98" s="13" t="str">
        <x:v>PED00097</x:v>
      </x:c>
      <x:c r="B98" s="19" t="n">
        <x:v>46081</x:v>
      </x:c>
      <x:c r="C98" s="14" t="str">
        <x:v>CLI0042</x:v>
      </x:c>
      <x:c r="D98" s="14" t="str">
        <x:f>INDEX(Clientes!$B$2:$B$101,MATCH(C98,Clientes!$A$2:$A$101,0))</x:f>
        <x:v>João Rocha Batista</x:v>
      </x:c>
      <x:c r="E98" s="14" t="str">
        <x:v>PROD009</x:v>
      </x:c>
      <x:c r="F98" s="14" t="str">
        <x:f>INDEX(Produtos!$B$2:$B$11,MATCH(E98,Produtos!$A$2:$A$11,0))</x:f>
        <x:v>Carregador USB-C</x:v>
      </x:c>
      <x:c r="G98" s="18" t="n">
        <x:v>7</x:v>
      </x:c>
      <x:c r="H98" s="17" t="n">
        <x:f>INDEX(Produtos!$D$2:$D$11,MATCH(E98,Produtos!$A$2:$A$11,0))</x:f>
        <x:v>59.9</x:v>
      </x:c>
      <x:c r="I98" s="17" t="n">
        <x:f>G98*H98</x:f>
        <x:v>419.3</x:v>
      </x:c>
      <x:c r="J98" s="14" t="str">
        <x:v>Cartão de crédito</x:v>
      </x:c>
      <x:c r="K98" s="14" t="str">
        <x:v>Entregue</x:v>
      </x:c>
      <x:c r="L98" s="15" t="str">
        <x:f>INDEX(Clientes!$F$2:$F$101,MATCH(C98,Clientes!$A$2:$A$101,0))</x:f>
        <x:v>PR</x:v>
      </x:c>
    </x:row>
    <x:row r="99" ht="20" customHeight="1">
      <x:c r="A99" s="13" t="str">
        <x:v>PED00098</x:v>
      </x:c>
      <x:c r="B99" s="19" t="n">
        <x:v>46030</x:v>
      </x:c>
      <x:c r="C99" s="14" t="str">
        <x:v>CLI0004</x:v>
      </x:c>
      <x:c r="D99" s="14" t="str">
        <x:f>INDEX(Clientes!$B$2:$B$101,MATCH(C99,Clientes!$A$2:$A$101,0))</x:f>
        <x:v>Enzo Ibrahim Queiroz</x:v>
      </x:c>
      <x:c r="E99" s="14" t="str">
        <x:v>PROD009</x:v>
      </x:c>
      <x:c r="F99" s="14" t="str">
        <x:f>INDEX(Produtos!$B$2:$B$11,MATCH(E99,Produtos!$A$2:$A$11,0))</x:f>
        <x:v>Carregador USB-C</x:v>
      </x:c>
      <x:c r="G99" s="18" t="n">
        <x:v>5</x:v>
      </x:c>
      <x:c r="H99" s="17" t="n">
        <x:f>INDEX(Produtos!$D$2:$D$11,MATCH(E99,Produtos!$A$2:$A$11,0))</x:f>
        <x:v>59.9</x:v>
      </x:c>
      <x:c r="I99" s="17" t="n">
        <x:f>G99*H99</x:f>
        <x:v>299.5</x:v>
      </x:c>
      <x:c r="J99" s="14" t="str">
        <x:v>Boleto</x:v>
      </x:c>
      <x:c r="K99" s="14" t="str">
        <x:v>Processando</x:v>
      </x:c>
      <x:c r="L99" s="15" t="str">
        <x:f>INDEX(Clientes!$F$2:$F$101,MATCH(C99,Clientes!$A$2:$A$101,0))</x:f>
        <x:v>SP</x:v>
      </x:c>
    </x:row>
    <x:row r="100" ht="20" customHeight="1">
      <x:c r="A100" s="13" t="str">
        <x:v>PED00099</x:v>
      </x:c>
      <x:c r="B100" s="19" t="n">
        <x:v>46248</x:v>
      </x:c>
      <x:c r="C100" s="14" t="str">
        <x:v>CLI0038</x:v>
      </x:c>
      <x:c r="D100" s="14" t="str">
        <x:f>INDEX(Clientes!$B$2:$B$101,MATCH(C100,Clientes!$A$2:$A$101,0))</x:f>
        <x:v>Pedro Ramos Junqueira</x:v>
      </x:c>
      <x:c r="E100" s="14" t="str">
        <x:v>PROD003</x:v>
      </x:c>
      <x:c r="F100" s="14" t="str">
        <x:f>INDEX(Produtos!$B$2:$B$11,MATCH(E100,Produtos!$A$2:$A$11,0))</x:f>
        <x:v>Fone Bluetooth</x:v>
      </x:c>
      <x:c r="G100" s="18" t="n">
        <x:v>3</x:v>
      </x:c>
      <x:c r="H100" s="17" t="n">
        <x:f>INDEX(Produtos!$D$2:$D$11,MATCH(E100,Produtos!$A$2:$A$11,0))</x:f>
        <x:v>129.9</x:v>
      </x:c>
      <x:c r="I100" s="17" t="n">
        <x:f>G100*H100</x:f>
        <x:v>389.70000000000005</x:v>
      </x:c>
      <x:c r="J100" s="14" t="str">
        <x:v>Cartão de crédito</x:v>
      </x:c>
      <x:c r="K100" s="14" t="str">
        <x:v>Entregue</x:v>
      </x:c>
      <x:c r="L100" s="15" t="str">
        <x:f>INDEX(Clientes!$F$2:$F$101,MATCH(C100,Clientes!$A$2:$A$101,0))</x:f>
        <x:v>SC</x:v>
      </x:c>
    </x:row>
    <x:row r="101" ht="20" customHeight="1">
      <x:c r="A101" s="13" t="str">
        <x:v>PED00100</x:v>
      </x:c>
      <x:c r="B101" s="19" t="n">
        <x:v>46240</x:v>
      </x:c>
      <x:c r="C101" s="14" t="str">
        <x:v>CLI0040</x:v>
      </x:c>
      <x:c r="D101" s="14" t="str">
        <x:f>INDEX(Clientes!$B$2:$B$101,MATCH(C101,Clientes!$A$2:$A$101,0))</x:f>
        <x:v>Vinícius Andrade Vargas</x:v>
      </x:c>
      <x:c r="E101" s="14" t="str">
        <x:v>PROD007</x:v>
      </x:c>
      <x:c r="F101" s="14" t="str">
        <x:f>INDEX(Produtos!$B$2:$B$11,MATCH(E101,Produtos!$A$2:$A$11,0))</x:f>
        <x:v>Caneca Cerâmica</x:v>
      </x:c>
      <x:c r="G101" s="18" t="n">
        <x:v>1</x:v>
      </x:c>
      <x:c r="H101" s="17" t="n">
        <x:f>INDEX(Produtos!$D$2:$D$11,MATCH(E101,Produtos!$A$2:$A$11,0))</x:f>
        <x:v>32</x:v>
      </x:c>
      <x:c r="I101" s="17" t="n">
        <x:f>G101*H101</x:f>
        <x:v>32</x:v>
      </x:c>
      <x:c r="J101" s="14" t="str">
        <x:v>Boleto</x:v>
      </x:c>
      <x:c r="K101" s="14" t="str">
        <x:v>Processando</x:v>
      </x:c>
      <x:c r="L101" s="15" t="str">
        <x:f>INDEX(Clientes!$F$2:$F$101,MATCH(C101,Clientes!$A$2:$A$101,0))</x:f>
        <x:v>PR</x:v>
      </x:c>
    </x:row>
    <x:row r="102" ht="20" customHeight="1">
      <x:c r="A102" s="13" t="str">
        <x:v>PED00101</x:v>
      </x:c>
      <x:c r="B102" s="19" t="n">
        <x:v>46052</x:v>
      </x:c>
      <x:c r="C102" s="14" t="str">
        <x:v>CLI0018</x:v>
      </x:c>
      <x:c r="D102" s="14" t="str">
        <x:f>INDEX(Clientes!$B$2:$B$101,MATCH(C102,Clientes!$A$2:$A$101,0))</x:f>
        <x:v>Bruno Cardoso Dias</x:v>
      </x:c>
      <x:c r="E102" s="14" t="str">
        <x:v>PROD007</x:v>
      </x:c>
      <x:c r="F102" s="14" t="str">
        <x:f>INDEX(Produtos!$B$2:$B$11,MATCH(E102,Produtos!$A$2:$A$11,0))</x:f>
        <x:v>Caneca Cerâmica</x:v>
      </x:c>
      <x:c r="G102" s="18" t="n">
        <x:v>7</x:v>
      </x:c>
      <x:c r="H102" s="17" t="n">
        <x:f>INDEX(Produtos!$D$2:$D$11,MATCH(E102,Produtos!$A$2:$A$11,0))</x:f>
        <x:v>32</x:v>
      </x:c>
      <x:c r="I102" s="17" t="n">
        <x:f>G102*H102</x:f>
        <x:v>224</x:v>
      </x:c>
      <x:c r="J102" s="14" t="str">
        <x:v>Cartão de crédito</x:v>
      </x:c>
      <x:c r="K102" s="14" t="str">
        <x:v>Entregue</x:v>
      </x:c>
      <x:c r="L102" s="15" t="str">
        <x:f>INDEX(Clientes!$F$2:$F$101,MATCH(C102,Clientes!$A$2:$A$101,0))</x:f>
        <x:v>BA</x:v>
      </x:c>
    </x:row>
    <x:row r="103" ht="20" customHeight="1">
      <x:c r="A103" s="13" t="str">
        <x:v>PED00102</x:v>
      </x:c>
      <x:c r="B103" s="19" t="n">
        <x:v>46114</x:v>
      </x:c>
      <x:c r="C103" s="14" t="str">
        <x:v>CLI0032</x:v>
      </x:c>
      <x:c r="D103" s="14" t="str">
        <x:f>INDEX(Clientes!$B$2:$B$101,MATCH(C103,Clientes!$A$2:$A$101,0))</x:f>
        <x:v>Leonardo Lima Oliveira</x:v>
      </x:c>
      <x:c r="E103" s="14" t="str">
        <x:v>PROD009</x:v>
      </x:c>
      <x:c r="F103" s="14" t="str">
        <x:f>INDEX(Produtos!$B$2:$B$11,MATCH(E103,Produtos!$A$2:$A$11,0))</x:f>
        <x:v>Carregador USB-C</x:v>
      </x:c>
      <x:c r="G103" s="18" t="n">
        <x:v>5</x:v>
      </x:c>
      <x:c r="H103" s="17" t="n">
        <x:f>INDEX(Produtos!$D$2:$D$11,MATCH(E103,Produtos!$A$2:$A$11,0))</x:f>
        <x:v>59.9</x:v>
      </x:c>
      <x:c r="I103" s="17" t="n">
        <x:f>G103*H103</x:f>
        <x:v>299.5</x:v>
      </x:c>
      <x:c r="J103" s="14" t="str">
        <x:v>Boleto</x:v>
      </x:c>
      <x:c r="K103" s="14" t="str">
        <x:v>Processando</x:v>
      </x:c>
      <x:c r="L103" s="15" t="str">
        <x:f>INDEX(Clientes!$F$2:$F$101,MATCH(C103,Clientes!$A$2:$A$101,0))</x:f>
        <x:v>PR</x:v>
      </x:c>
    </x:row>
    <x:row r="104" ht="20" customHeight="1">
      <x:c r="A104" s="13" t="str">
        <x:v>PED00103</x:v>
      </x:c>
      <x:c r="B104" s="19" t="n">
        <x:v>46268</x:v>
      </x:c>
      <x:c r="C104" s="14" t="str">
        <x:v>CLI0062</x:v>
      </x:c>
      <x:c r="D104" s="14" t="str">
        <x:f>INDEX(Clientes!$B$2:$B$101,MATCH(C104,Clientes!$A$2:$A$101,0))</x:f>
        <x:v>Enzo Pereira Duarte</x:v>
      </x:c>
      <x:c r="E104" s="14" t="str">
        <x:v>PROD005</x:v>
      </x:c>
      <x:c r="F104" s="14" t="str">
        <x:f>INDEX(Produtos!$B$2:$B$11,MATCH(E104,Produtos!$A$2:$A$11,0))</x:f>
        <x:v>Luminária de Mesa LED</x:v>
      </x:c>
      <x:c r="G104" s="18" t="n">
        <x:v>3</x:v>
      </x:c>
      <x:c r="H104" s="17" t="n">
        <x:f>INDEX(Produtos!$D$2:$D$11,MATCH(E104,Produtos!$A$2:$A$11,0))</x:f>
        <x:v>89.5</x:v>
      </x:c>
      <x:c r="I104" s="17" t="n">
        <x:f>G104*H104</x:f>
        <x:v>268.5</x:v>
      </x:c>
      <x:c r="J104" s="14" t="str">
        <x:v>Cartão de crédito</x:v>
      </x:c>
      <x:c r="K104" s="14" t="str">
        <x:v>Entregue</x:v>
      </x:c>
      <x:c r="L104" s="15" t="str">
        <x:f>INDEX(Clientes!$F$2:$F$101,MATCH(C104,Clientes!$A$2:$A$101,0))</x:f>
        <x:v>SC</x:v>
      </x:c>
    </x:row>
    <x:row r="105" ht="20" customHeight="1">
      <x:c r="A105" s="13" t="str">
        <x:v>PED00104</x:v>
      </x:c>
      <x:c r="B105" s="19" t="n">
        <x:v>46133</x:v>
      </x:c>
      <x:c r="C105" s="14" t="str">
        <x:v>CLI0072</x:v>
      </x:c>
      <x:c r="D105" s="14" t="str">
        <x:f>INDEX(Clientes!$B$2:$B$101,MATCH(C105,Clientes!$A$2:$A$101,0))</x:f>
        <x:v>Leonardo Farias Dias</x:v>
      </x:c>
      <x:c r="E105" s="14" t="str">
        <x:v>PROD003</x:v>
      </x:c>
      <x:c r="F105" s="14" t="str">
        <x:f>INDEX(Produtos!$B$2:$B$11,MATCH(E105,Produtos!$A$2:$A$11,0))</x:f>
        <x:v>Fone Bluetooth</x:v>
      </x:c>
      <x:c r="G105" s="18" t="n">
        <x:v>1</x:v>
      </x:c>
      <x:c r="H105" s="17" t="n">
        <x:f>INDEX(Produtos!$D$2:$D$11,MATCH(E105,Produtos!$A$2:$A$11,0))</x:f>
        <x:v>129.9</x:v>
      </x:c>
      <x:c r="I105" s="17" t="n">
        <x:f>G105*H105</x:f>
        <x:v>129.9</x:v>
      </x:c>
      <x:c r="J105" s="14" t="str">
        <x:v>Boleto</x:v>
      </x:c>
      <x:c r="K105" s="14" t="str">
        <x:v>Processando</x:v>
      </x:c>
      <x:c r="L105" s="15" t="str">
        <x:f>INDEX(Clientes!$F$2:$F$101,MATCH(C105,Clientes!$A$2:$A$101,0))</x:f>
        <x:v>SP</x:v>
      </x:c>
    </x:row>
    <x:row r="106" ht="20" customHeight="1">
      <x:c r="A106" s="13" t="str">
        <x:v>PED00105</x:v>
      </x:c>
      <x:c r="B106" s="19" t="n">
        <x:v>46290</x:v>
      </x:c>
      <x:c r="C106" s="14" t="str">
        <x:v>CLI0078</x:v>
      </x:c>
      <x:c r="D106" s="14" t="str">
        <x:f>INDEX(Clientes!$B$2:$B$101,MATCH(C106,Clientes!$A$2:$A$101,0))</x:f>
        <x:v>Lucas Gomes Queiroz</x:v>
      </x:c>
      <x:c r="E106" s="14" t="str">
        <x:v>PROD007</x:v>
      </x:c>
      <x:c r="F106" s="14" t="str">
        <x:f>INDEX(Produtos!$B$2:$B$11,MATCH(E106,Produtos!$A$2:$A$11,0))</x:f>
        <x:v>Caneca Cerâmica</x:v>
      </x:c>
      <x:c r="G106" s="18" t="n">
        <x:v>7</x:v>
      </x:c>
      <x:c r="H106" s="17" t="n">
        <x:f>INDEX(Produtos!$D$2:$D$11,MATCH(E106,Produtos!$A$2:$A$11,0))</x:f>
        <x:v>32</x:v>
      </x:c>
      <x:c r="I106" s="17" t="n">
        <x:f>G106*H106</x:f>
        <x:v>224</x:v>
      </x:c>
      <x:c r="J106" s="14" t="str">
        <x:v>Cartão de crédito</x:v>
      </x:c>
      <x:c r="K106" s="14" t="str">
        <x:v>Entregue</x:v>
      </x:c>
      <x:c r="L106" s="15" t="str">
        <x:f>INDEX(Clientes!$F$2:$F$101,MATCH(C106,Clientes!$A$2:$A$101,0))</x:f>
        <x:v>SP</x:v>
      </x:c>
    </x:row>
    <x:row r="107" ht="20" customHeight="1">
      <x:c r="A107" s="13" t="str">
        <x:v>PED00106</x:v>
      </x:c>
      <x:c r="B107" s="19" t="n">
        <x:v>46178</x:v>
      </x:c>
      <x:c r="C107" s="14" t="str">
        <x:v>CLI0028</x:v>
      </x:c>
      <x:c r="D107" s="14" t="str">
        <x:f>INDEX(Clientes!$B$2:$B$101,MATCH(C107,Clientes!$A$2:$A$101,0))</x:f>
        <x:v>Leonardo Nascimento Junqueira</x:v>
      </x:c>
      <x:c r="E107" s="14" t="str">
        <x:v>PROD009</x:v>
      </x:c>
      <x:c r="F107" s="14" t="str">
        <x:f>INDEX(Produtos!$B$2:$B$11,MATCH(E107,Produtos!$A$2:$A$11,0))</x:f>
        <x:v>Carregador USB-C</x:v>
      </x:c>
      <x:c r="G107" s="18" t="n">
        <x:v>5</x:v>
      </x:c>
      <x:c r="H107" s="17" t="n">
        <x:f>INDEX(Produtos!$D$2:$D$11,MATCH(E107,Produtos!$A$2:$A$11,0))</x:f>
        <x:v>59.9</x:v>
      </x:c>
      <x:c r="I107" s="17" t="n">
        <x:f>G107*H107</x:f>
        <x:v>299.5</x:v>
      </x:c>
      <x:c r="J107" s="14" t="str">
        <x:v>Boleto</x:v>
      </x:c>
      <x:c r="K107" s="14" t="str">
        <x:v>Processando</x:v>
      </x:c>
      <x:c r="L107" s="15" t="str">
        <x:f>INDEX(Clientes!$F$2:$F$101,MATCH(C107,Clientes!$A$2:$A$101,0))</x:f>
        <x:v>SC</x:v>
      </x:c>
    </x:row>
    <x:row r="108" ht="20" customHeight="1">
      <x:c r="A108" s="13" t="str">
        <x:v>PED00107</x:v>
      </x:c>
      <x:c r="B108" s="19" t="n">
        <x:v>46253</x:v>
      </x:c>
      <x:c r="C108" s="14" t="str">
        <x:v>CLI0054</x:v>
      </x:c>
      <x:c r="D108" s="14" t="str">
        <x:f>INDEX(Clientes!$B$2:$B$101,MATCH(C108,Clientes!$A$2:$A$101,0))</x:f>
        <x:v>Lucas Farias Ferreira</x:v>
      </x:c>
      <x:c r="E108" s="14" t="str">
        <x:v>PROD007</x:v>
      </x:c>
      <x:c r="F108" s="14" t="str">
        <x:f>INDEX(Produtos!$B$2:$B$11,MATCH(E108,Produtos!$A$2:$A$11,0))</x:f>
        <x:v>Caneca Cerâmica</x:v>
      </x:c>
      <x:c r="G108" s="18" t="n">
        <x:v>3</x:v>
      </x:c>
      <x:c r="H108" s="17" t="n">
        <x:f>INDEX(Produtos!$D$2:$D$11,MATCH(E108,Produtos!$A$2:$A$11,0))</x:f>
        <x:v>32</x:v>
      </x:c>
      <x:c r="I108" s="17" t="n">
        <x:f>G108*H108</x:f>
        <x:v>96</x:v>
      </x:c>
      <x:c r="J108" s="14" t="str">
        <x:v>Cartão de crédito</x:v>
      </x:c>
      <x:c r="K108" s="14" t="str">
        <x:v>Entregue</x:v>
      </x:c>
      <x:c r="L108" s="15" t="str">
        <x:f>INDEX(Clientes!$F$2:$F$101,MATCH(C108,Clientes!$A$2:$A$101,0))</x:f>
        <x:v>SC</x:v>
      </x:c>
    </x:row>
    <x:row r="109" ht="20" customHeight="1">
      <x:c r="A109" s="13" t="str">
        <x:v>PED00108</x:v>
      </x:c>
      <x:c r="B109" s="19" t="n">
        <x:v>46275</x:v>
      </x:c>
      <x:c r="C109" s="14" t="str">
        <x:v>CLI0036</x:v>
      </x:c>
      <x:c r="D109" s="14" t="str">
        <x:f>INDEX(Clientes!$B$2:$B$101,MATCH(C109,Clientes!$A$2:$A$101,0))</x:f>
        <x:v>Enzo Teixeira Machado</x:v>
      </x:c>
      <x:c r="E109" s="14" t="str">
        <x:v>PROD001</x:v>
      </x:c>
      <x:c r="F109" s="14" t="str">
        <x:f>INDEX(Produtos!$B$2:$B$11,MATCH(E109,Produtos!$A$2:$A$11,0))</x:f>
        <x:v>Caderno Universitário</x:v>
      </x:c>
      <x:c r="G109" s="18" t="n">
        <x:v>1</x:v>
      </x:c>
      <x:c r="H109" s="17" t="n">
        <x:f>INDEX(Produtos!$D$2:$D$11,MATCH(E109,Produtos!$A$2:$A$11,0))</x:f>
        <x:v>24.9</x:v>
      </x:c>
      <x:c r="I109" s="17" t="n">
        <x:f>G109*H109</x:f>
        <x:v>24.9</x:v>
      </x:c>
      <x:c r="J109" s="14" t="str">
        <x:v>Boleto</x:v>
      </x:c>
      <x:c r="K109" s="14" t="str">
        <x:v>Processando</x:v>
      </x:c>
      <x:c r="L109" s="15" t="str">
        <x:f>INDEX(Clientes!$F$2:$F$101,MATCH(C109,Clientes!$A$2:$A$101,0))</x:f>
        <x:v>SP</x:v>
      </x:c>
    </x:row>
    <x:row r="110" ht="20" customHeight="1">
      <x:c r="A110" s="13" t="str">
        <x:v>PED00109</x:v>
      </x:c>
      <x:c r="B110" s="19" t="n">
        <x:v>46193</x:v>
      </x:c>
      <x:c r="C110" s="14" t="str">
        <x:v>CLI0034</x:v>
      </x:c>
      <x:c r="D110" s="14" t="str">
        <x:f>INDEX(Clientes!$B$2:$B$101,MATCH(C110,Clientes!$A$2:$A$101,0))</x:f>
        <x:v>Igor Nascimento Garcia</x:v>
      </x:c>
      <x:c r="E110" s="14" t="str">
        <x:v>PROD001</x:v>
      </x:c>
      <x:c r="F110" s="14" t="str">
        <x:f>INDEX(Produtos!$B$2:$B$11,MATCH(E110,Produtos!$A$2:$A$11,0))</x:f>
        <x:v>Caderno Universitário</x:v>
      </x:c>
      <x:c r="G110" s="18" t="n">
        <x:v>7</x:v>
      </x:c>
      <x:c r="H110" s="17" t="n">
        <x:f>INDEX(Produtos!$D$2:$D$11,MATCH(E110,Produtos!$A$2:$A$11,0))</x:f>
        <x:v>24.9</x:v>
      </x:c>
      <x:c r="I110" s="17" t="n">
        <x:f>G110*H110</x:f>
        <x:v>174.29999999999998</x:v>
      </x:c>
      <x:c r="J110" s="14" t="str">
        <x:v>Cartão de crédito</x:v>
      </x:c>
      <x:c r="K110" s="14" t="str">
        <x:v>Entregue</x:v>
      </x:c>
      <x:c r="L110" s="15" t="str">
        <x:f>INDEX(Clientes!$F$2:$F$101,MATCH(C110,Clientes!$A$2:$A$101,0))</x:f>
        <x:v>PR</x:v>
      </x:c>
    </x:row>
    <x:row r="111" ht="20" customHeight="1">
      <x:c r="A111" s="13" t="str">
        <x:v>PED00110</x:v>
      </x:c>
      <x:c r="B111" s="19" t="n">
        <x:v>46197</x:v>
      </x:c>
      <x:c r="C111" s="14" t="str">
        <x:v>CLI0056</x:v>
      </x:c>
      <x:c r="D111" s="14" t="str">
        <x:f>INDEX(Clientes!$B$2:$B$101,MATCH(C111,Clientes!$A$2:$A$101,0))</x:f>
        <x:v>Gustavo Andrade Souza</x:v>
      </x:c>
      <x:c r="E111" s="14" t="str">
        <x:v>PROD003</x:v>
      </x:c>
      <x:c r="F111" s="14" t="str">
        <x:f>INDEX(Produtos!$B$2:$B$11,MATCH(E111,Produtos!$A$2:$A$11,0))</x:f>
        <x:v>Fone Bluetooth</x:v>
      </x:c>
      <x:c r="G111" s="18" t="n">
        <x:v>5</x:v>
      </x:c>
      <x:c r="H111" s="17" t="n">
        <x:f>INDEX(Produtos!$D$2:$D$11,MATCH(E111,Produtos!$A$2:$A$11,0))</x:f>
        <x:v>129.9</x:v>
      </x:c>
      <x:c r="I111" s="17" t="n">
        <x:f>G111*H111</x:f>
        <x:v>649.5</x:v>
      </x:c>
      <x:c r="J111" s="14" t="str">
        <x:v>Boleto</x:v>
      </x:c>
      <x:c r="K111" s="14" t="str">
        <x:v>Processando</x:v>
      </x:c>
      <x:c r="L111" s="15" t="str">
        <x:f>INDEX(Clientes!$F$2:$F$101,MATCH(C111,Clientes!$A$2:$A$101,0))</x:f>
        <x:v>PR</x:v>
      </x:c>
    </x:row>
    <x:row r="112" ht="20" customHeight="1">
      <x:c r="A112" s="13" t="str">
        <x:v>PED00111</x:v>
      </x:c>
      <x:c r="B112" s="19" t="n">
        <x:v>46109</x:v>
      </x:c>
      <x:c r="C112" s="14" t="str">
        <x:v>CLI0054</x:v>
      </x:c>
      <x:c r="D112" s="14" t="str">
        <x:f>INDEX(Clientes!$B$2:$B$101,MATCH(C112,Clientes!$A$2:$A$101,0))</x:f>
        <x:v>Lucas Farias Ferreira</x:v>
      </x:c>
      <x:c r="E112" s="14" t="str">
        <x:v>PROD005</x:v>
      </x:c>
      <x:c r="F112" s="14" t="str">
        <x:f>INDEX(Produtos!$B$2:$B$11,MATCH(E112,Produtos!$A$2:$A$11,0))</x:f>
        <x:v>Luminária de Mesa LED</x:v>
      </x:c>
      <x:c r="G112" s="18" t="n">
        <x:v>3</x:v>
      </x:c>
      <x:c r="H112" s="17" t="n">
        <x:f>INDEX(Produtos!$D$2:$D$11,MATCH(E112,Produtos!$A$2:$A$11,0))</x:f>
        <x:v>89.5</x:v>
      </x:c>
      <x:c r="I112" s="17" t="n">
        <x:f>G112*H112</x:f>
        <x:v>268.5</x:v>
      </x:c>
      <x:c r="J112" s="14" t="str">
        <x:v>Cartão de crédito</x:v>
      </x:c>
      <x:c r="K112" s="14" t="str">
        <x:v>Entregue</x:v>
      </x:c>
      <x:c r="L112" s="15" t="str">
        <x:f>INDEX(Clientes!$F$2:$F$101,MATCH(C112,Clientes!$A$2:$A$101,0))</x:f>
        <x:v>SC</x:v>
      </x:c>
    </x:row>
    <x:row r="113" ht="20" customHeight="1">
      <x:c r="A113" s="13" t="str">
        <x:v>PED00112</x:v>
      </x:c>
      <x:c r="B113" s="19" t="n">
        <x:v>46289</x:v>
      </x:c>
      <x:c r="C113" s="14" t="str">
        <x:v>CLI0068</x:v>
      </x:c>
      <x:c r="D113" s="14" t="str">
        <x:f>INDEX(Clientes!$B$2:$B$101,MATCH(C113,Clientes!$A$2:$A$101,0))</x:f>
        <x:v>Igor Andrade Machado</x:v>
      </x:c>
      <x:c r="E113" s="14" t="str">
        <x:v>PROD001</x:v>
      </x:c>
      <x:c r="F113" s="14" t="str">
        <x:f>INDEX(Produtos!$B$2:$B$11,MATCH(E113,Produtos!$A$2:$A$11,0))</x:f>
        <x:v>Caderno Universitário</x:v>
      </x:c>
      <x:c r="G113" s="18" t="n">
        <x:v>1</x:v>
      </x:c>
      <x:c r="H113" s="17" t="n">
        <x:f>INDEX(Produtos!$D$2:$D$11,MATCH(E113,Produtos!$A$2:$A$11,0))</x:f>
        <x:v>24.9</x:v>
      </x:c>
      <x:c r="I113" s="17" t="n">
        <x:f>G113*H113</x:f>
        <x:v>24.9</x:v>
      </x:c>
      <x:c r="J113" s="14" t="str">
        <x:v>Boleto</x:v>
      </x:c>
      <x:c r="K113" s="14" t="str">
        <x:v>Processando</x:v>
      </x:c>
      <x:c r="L113" s="15" t="str">
        <x:f>INDEX(Clientes!$F$2:$F$101,MATCH(C113,Clientes!$A$2:$A$101,0))</x:f>
        <x:v>SP</x:v>
      </x:c>
    </x:row>
    <x:row r="114" ht="20" customHeight="1">
      <x:c r="A114" s="13" t="str">
        <x:v>PED00113</x:v>
      </x:c>
      <x:c r="B114" s="19" t="n">
        <x:v>46231</x:v>
      </x:c>
      <x:c r="C114" s="14" t="str">
        <x:v>CLI0042</x:v>
      </x:c>
      <x:c r="D114" s="14" t="str">
        <x:f>INDEX(Clientes!$B$2:$B$101,MATCH(C114,Clientes!$A$2:$A$101,0))</x:f>
        <x:v>João Rocha Batista</x:v>
      </x:c>
      <x:c r="E114" s="14" t="str">
        <x:v>PROD001</x:v>
      </x:c>
      <x:c r="F114" s="14" t="str">
        <x:f>INDEX(Produtos!$B$2:$B$11,MATCH(E114,Produtos!$A$2:$A$11,0))</x:f>
        <x:v>Caderno Universitário</x:v>
      </x:c>
      <x:c r="G114" s="18" t="n">
        <x:v>7</x:v>
      </x:c>
      <x:c r="H114" s="17" t="n">
        <x:f>INDEX(Produtos!$D$2:$D$11,MATCH(E114,Produtos!$A$2:$A$11,0))</x:f>
        <x:v>24.9</x:v>
      </x:c>
      <x:c r="I114" s="17" t="n">
        <x:f>G114*H114</x:f>
        <x:v>174.29999999999998</x:v>
      </x:c>
      <x:c r="J114" s="14" t="str">
        <x:v>Cartão de crédito</x:v>
      </x:c>
      <x:c r="K114" s="14" t="str">
        <x:v>Entregue</x:v>
      </x:c>
      <x:c r="L114" s="15" t="str">
        <x:f>INDEX(Clientes!$F$2:$F$101,MATCH(C114,Clientes!$A$2:$A$101,0))</x:f>
        <x:v>PR</x:v>
      </x:c>
    </x:row>
    <x:row r="115" ht="20" customHeight="1">
      <x:c r="A115" s="13" t="str">
        <x:v>PED00114</x:v>
      </x:c>
      <x:c r="B115" s="19" t="n">
        <x:v>46286</x:v>
      </x:c>
      <x:c r="C115" s="14" t="str">
        <x:v>CLI0084</x:v>
      </x:c>
      <x:c r="D115" s="14" t="str">
        <x:f>INDEX(Clientes!$B$2:$B$101,MATCH(C115,Clientes!$A$2:$A$101,0))</x:f>
        <x:v>Lucas Ibrahim Garcia</x:v>
      </x:c>
      <x:c r="E115" s="14" t="str">
        <x:v>PROD007</x:v>
      </x:c>
      <x:c r="F115" s="14" t="str">
        <x:f>INDEX(Produtos!$B$2:$B$11,MATCH(E115,Produtos!$A$2:$A$11,0))</x:f>
        <x:v>Caneca Cerâmica</x:v>
      </x:c>
      <x:c r="G115" s="18" t="n">
        <x:v>5</x:v>
      </x:c>
      <x:c r="H115" s="17" t="n">
        <x:f>INDEX(Produtos!$D$2:$D$11,MATCH(E115,Produtos!$A$2:$A$11,0))</x:f>
        <x:v>32</x:v>
      </x:c>
      <x:c r="I115" s="17" t="n">
        <x:f>G115*H115</x:f>
        <x:v>160</x:v>
      </x:c>
      <x:c r="J115" s="14" t="str">
        <x:v>Boleto</x:v>
      </x:c>
      <x:c r="K115" s="14" t="str">
        <x:v>Processando</x:v>
      </x:c>
      <x:c r="L115" s="15" t="str">
        <x:f>INDEX(Clientes!$F$2:$F$101,MATCH(C115,Clientes!$A$2:$A$101,0))</x:f>
        <x:v>PR</x:v>
      </x:c>
    </x:row>
    <x:row r="116" ht="20" customHeight="1">
      <x:c r="A116" s="13" t="str">
        <x:v>PED00115</x:v>
      </x:c>
      <x:c r="B116" s="19" t="n">
        <x:v>46077</x:v>
      </x:c>
      <x:c r="C116" s="14" t="str">
        <x:v>CLI0006</x:v>
      </x:c>
      <x:c r="D116" s="14" t="str">
        <x:f>INDEX(Clientes!$B$2:$B$101,MATCH(C116,Clientes!$A$2:$A$101,0))</x:f>
        <x:v>Caio Cardoso Batista</x:v>
      </x:c>
      <x:c r="E116" s="14" t="str">
        <x:v>PROD007</x:v>
      </x:c>
      <x:c r="F116" s="14" t="str">
        <x:f>INDEX(Produtos!$B$2:$B$11,MATCH(E116,Produtos!$A$2:$A$11,0))</x:f>
        <x:v>Caneca Cerâmica</x:v>
      </x:c>
      <x:c r="G116" s="18" t="n">
        <x:v>3</x:v>
      </x:c>
      <x:c r="H116" s="17" t="n">
        <x:f>INDEX(Produtos!$D$2:$D$11,MATCH(E116,Produtos!$A$2:$A$11,0))</x:f>
        <x:v>32</x:v>
      </x:c>
      <x:c r="I116" s="17" t="n">
        <x:f>G116*H116</x:f>
        <x:v>96</x:v>
      </x:c>
      <x:c r="J116" s="14" t="str">
        <x:v>Cartão de crédito</x:v>
      </x:c>
      <x:c r="K116" s="14" t="str">
        <x:v>Entregue</x:v>
      </x:c>
      <x:c r="L116" s="15" t="str">
        <x:f>INDEX(Clientes!$F$2:$F$101,MATCH(C116,Clientes!$A$2:$A$101,0))</x:f>
        <x:v>SP</x:v>
      </x:c>
    </x:row>
    <x:row r="117" ht="20" customHeight="1">
      <x:c r="A117" s="13" t="str">
        <x:v>PED00116</x:v>
      </x:c>
      <x:c r="B117" s="19" t="n">
        <x:v>46155</x:v>
      </x:c>
      <x:c r="C117" s="14" t="str">
        <x:v>CLI0024</x:v>
      </x:c>
      <x:c r="D117" s="14" t="str">
        <x:f>INDEX(Clientes!$B$2:$B$101,MATCH(C117,Clientes!$A$2:$A$101,0))</x:f>
        <x:v>João Cardoso Duarte</x:v>
      </x:c>
      <x:c r="E117" s="14" t="str">
        <x:v>PROD001</x:v>
      </x:c>
      <x:c r="F117" s="14" t="str">
        <x:f>INDEX(Produtos!$B$2:$B$11,MATCH(E117,Produtos!$A$2:$A$11,0))</x:f>
        <x:v>Caderno Universitário</x:v>
      </x:c>
      <x:c r="G117" s="18" t="n">
        <x:v>1</x:v>
      </x:c>
      <x:c r="H117" s="17" t="n">
        <x:f>INDEX(Produtos!$D$2:$D$11,MATCH(E117,Produtos!$A$2:$A$11,0))</x:f>
        <x:v>24.9</x:v>
      </x:c>
      <x:c r="I117" s="17" t="n">
        <x:f>G117*H117</x:f>
        <x:v>24.9</x:v>
      </x:c>
      <x:c r="J117" s="14" t="str">
        <x:v>Boleto</x:v>
      </x:c>
      <x:c r="K117" s="14" t="str">
        <x:v>Processando</x:v>
      </x:c>
      <x:c r="L117" s="15" t="str">
        <x:f>INDEX(Clientes!$F$2:$F$101,MATCH(C117,Clientes!$A$2:$A$101,0))</x:f>
        <x:v>SP</x:v>
      </x:c>
    </x:row>
    <x:row r="118" ht="20" customHeight="1">
      <x:c r="A118" s="13" t="str">
        <x:v>PED00117</x:v>
      </x:c>
      <x:c r="B118" s="19" t="n">
        <x:v>46184</x:v>
      </x:c>
      <x:c r="C118" s="14" t="str">
        <x:v>CLI0014</x:v>
      </x:c>
      <x:c r="D118" s="14" t="str">
        <x:f>INDEX(Clientes!$B$2:$B$101,MATCH(C118,Clientes!$A$2:$A$101,0))</x:f>
        <x:v>Enzo Andrade Duarte</x:v>
      </x:c>
      <x:c r="E118" s="14" t="str">
        <x:v>PROD009</x:v>
      </x:c>
      <x:c r="F118" s="14" t="str">
        <x:f>INDEX(Produtos!$B$2:$B$11,MATCH(E118,Produtos!$A$2:$A$11,0))</x:f>
        <x:v>Carregador USB-C</x:v>
      </x:c>
      <x:c r="G118" s="18" t="n">
        <x:v>7</x:v>
      </x:c>
      <x:c r="H118" s="17" t="n">
        <x:f>INDEX(Produtos!$D$2:$D$11,MATCH(E118,Produtos!$A$2:$A$11,0))</x:f>
        <x:v>59.9</x:v>
      </x:c>
      <x:c r="I118" s="17" t="n">
        <x:f>G118*H118</x:f>
        <x:v>419.3</x:v>
      </x:c>
      <x:c r="J118" s="14" t="str">
        <x:v>Cartão de crédito</x:v>
      </x:c>
      <x:c r="K118" s="14" t="str">
        <x:v>Entregue</x:v>
      </x:c>
      <x:c r="L118" s="15" t="str">
        <x:f>INDEX(Clientes!$F$2:$F$101,MATCH(C118,Clientes!$A$2:$A$101,0))</x:f>
        <x:v>PR</x:v>
      </x:c>
    </x:row>
    <x:row r="119" ht="20" customHeight="1">
      <x:c r="A119" s="13" t="str">
        <x:v>PED00118</x:v>
      </x:c>
      <x:c r="B119" s="19" t="n">
        <x:v>46097</x:v>
      </x:c>
      <x:c r="C119" s="14" t="str">
        <x:v>CLI0008</x:v>
      </x:c>
      <x:c r="D119" s="14" t="str">
        <x:f>INDEX(Clientes!$B$2:$B$101,MATCH(C119,Clientes!$A$2:$A$101,0))</x:f>
        <x:v>Enzo Esteves Junqueira</x:v>
      </x:c>
      <x:c r="E119" s="14" t="str">
        <x:v>PROD003</x:v>
      </x:c>
      <x:c r="F119" s="14" t="str">
        <x:f>INDEX(Produtos!$B$2:$B$11,MATCH(E119,Produtos!$A$2:$A$11,0))</x:f>
        <x:v>Fone Bluetooth</x:v>
      </x:c>
      <x:c r="G119" s="18" t="n">
        <x:v>5</x:v>
      </x:c>
      <x:c r="H119" s="17" t="n">
        <x:f>INDEX(Produtos!$D$2:$D$11,MATCH(E119,Produtos!$A$2:$A$11,0))</x:f>
        <x:v>129.9</x:v>
      </x:c>
      <x:c r="I119" s="17" t="n">
        <x:f>G119*H119</x:f>
        <x:v>649.5</x:v>
      </x:c>
      <x:c r="J119" s="14" t="str">
        <x:v>Boleto</x:v>
      </x:c>
      <x:c r="K119" s="14" t="str">
        <x:v>Processando</x:v>
      </x:c>
      <x:c r="L119" s="15" t="str">
        <x:f>INDEX(Clientes!$F$2:$F$101,MATCH(C119,Clientes!$A$2:$A$101,0))</x:f>
        <x:v>PR</x:v>
      </x:c>
    </x:row>
    <x:row r="120" ht="20" customHeight="1">
      <x:c r="A120" s="13" t="str">
        <x:v>PED00119</x:v>
      </x:c>
      <x:c r="B120" s="19" t="n">
        <x:v>46242</x:v>
      </x:c>
      <x:c r="C120" s="14" t="str">
        <x:v>CLI0050</x:v>
      </x:c>
      <x:c r="D120" s="14" t="str">
        <x:f>INDEX(Clientes!$B$2:$B$101,MATCH(C120,Clientes!$A$2:$A$101,0))</x:f>
        <x:v>Pedro Ramos Dias</x:v>
      </x:c>
      <x:c r="E120" s="14" t="str">
        <x:v>PROD001</x:v>
      </x:c>
      <x:c r="F120" s="14" t="str">
        <x:f>INDEX(Produtos!$B$2:$B$11,MATCH(E120,Produtos!$A$2:$A$11,0))</x:f>
        <x:v>Caderno Universitário</x:v>
      </x:c>
      <x:c r="G120" s="18" t="n">
        <x:v>3</x:v>
      </x:c>
      <x:c r="H120" s="17" t="n">
        <x:f>INDEX(Produtos!$D$2:$D$11,MATCH(E120,Produtos!$A$2:$A$11,0))</x:f>
        <x:v>24.9</x:v>
      </x:c>
      <x:c r="I120" s="17" t="n">
        <x:f>G120*H120</x:f>
        <x:v>74.69999999999999</x:v>
      </x:c>
      <x:c r="J120" s="14" t="str">
        <x:v>Cartão de crédito</x:v>
      </x:c>
      <x:c r="K120" s="14" t="str">
        <x:v>Entregue</x:v>
      </x:c>
      <x:c r="L120" s="15" t="str">
        <x:f>INDEX(Clientes!$F$2:$F$101,MATCH(C120,Clientes!$A$2:$A$101,0))</x:f>
        <x:v>SC</x:v>
      </x:c>
    </x:row>
    <x:row r="121" ht="20" customHeight="1">
      <x:c r="A121" s="13" t="str">
        <x:v>PED00120</x:v>
      </x:c>
      <x:c r="B121" s="19" t="n">
        <x:v>46080</x:v>
      </x:c>
      <x:c r="C121" s="14" t="str">
        <x:v>CLI0004</x:v>
      </x:c>
      <x:c r="D121" s="14" t="str">
        <x:f>INDEX(Clientes!$B$2:$B$101,MATCH(C121,Clientes!$A$2:$A$101,0))</x:f>
        <x:v>Enzo Ibrahim Queiroz</x:v>
      </x:c>
      <x:c r="E121" s="14" t="str">
        <x:v>PROD001</x:v>
      </x:c>
      <x:c r="F121" s="14" t="str">
        <x:f>INDEX(Produtos!$B$2:$B$11,MATCH(E121,Produtos!$A$2:$A$11,0))</x:f>
        <x:v>Caderno Universitário</x:v>
      </x:c>
      <x:c r="G121" s="18" t="n">
        <x:v>1</x:v>
      </x:c>
      <x:c r="H121" s="17" t="n">
        <x:f>INDEX(Produtos!$D$2:$D$11,MATCH(E121,Produtos!$A$2:$A$11,0))</x:f>
        <x:v>24.9</x:v>
      </x:c>
      <x:c r="I121" s="17" t="n">
        <x:f>G121*H121</x:f>
        <x:v>24.9</x:v>
      </x:c>
      <x:c r="J121" s="14" t="str">
        <x:v>Boleto</x:v>
      </x:c>
      <x:c r="K121" s="14" t="str">
        <x:v>Processando</x:v>
      </x:c>
      <x:c r="L121" s="15" t="str">
        <x:f>INDEX(Clientes!$F$2:$F$101,MATCH(C121,Clientes!$A$2:$A$101,0))</x:f>
        <x:v>SP</x:v>
      </x:c>
    </x:row>
    <x:row r="122" ht="20" customHeight="1">
      <x:c r="A122" s="13" t="str">
        <x:v>PED00121</x:v>
      </x:c>
      <x:c r="B122" s="19" t="n">
        <x:v>46152</x:v>
      </x:c>
      <x:c r="C122" s="14" t="str">
        <x:v>CLI0082</x:v>
      </x:c>
      <x:c r="D122" s="14" t="str">
        <x:f>INDEX(Clientes!$B$2:$B$101,MATCH(C122,Clientes!$A$2:$A$101,0))</x:f>
        <x:v>Bruno Esteves Barbosa</x:v>
      </x:c>
      <x:c r="E122" s="14" t="str">
        <x:v>PROD009</x:v>
      </x:c>
      <x:c r="F122" s="14" t="str">
        <x:f>INDEX(Produtos!$B$2:$B$11,MATCH(E122,Produtos!$A$2:$A$11,0))</x:f>
        <x:v>Carregador USB-C</x:v>
      </x:c>
      <x:c r="G122" s="18" t="n">
        <x:v>7</x:v>
      </x:c>
      <x:c r="H122" s="17" t="n">
        <x:f>INDEX(Produtos!$D$2:$D$11,MATCH(E122,Produtos!$A$2:$A$11,0))</x:f>
        <x:v>59.9</x:v>
      </x:c>
      <x:c r="I122" s="17" t="n">
        <x:f>G122*H122</x:f>
        <x:v>419.3</x:v>
      </x:c>
      <x:c r="J122" s="14" t="str">
        <x:v>Cartão de crédito</x:v>
      </x:c>
      <x:c r="K122" s="14" t="str">
        <x:v>Entregue</x:v>
      </x:c>
      <x:c r="L122" s="15" t="str">
        <x:f>INDEX(Clientes!$F$2:$F$101,MATCH(C122,Clientes!$A$2:$A$101,0))</x:f>
        <x:v>SC</x:v>
      </x:c>
    </x:row>
    <x:row r="123" ht="20" customHeight="1">
      <x:c r="A123" s="13" t="str">
        <x:v>PED00122</x:v>
      </x:c>
      <x:c r="B123" s="19" t="n">
        <x:v>46092</x:v>
      </x:c>
      <x:c r="C123" s="14" t="str">
        <x:v>CLI0008</x:v>
      </x:c>
      <x:c r="D123" s="14" t="str">
        <x:f>INDEX(Clientes!$B$2:$B$101,MATCH(C123,Clientes!$A$2:$A$101,0))</x:f>
        <x:v>Enzo Esteves Junqueira</x:v>
      </x:c>
      <x:c r="E123" s="14" t="str">
        <x:v>PROD007</x:v>
      </x:c>
      <x:c r="F123" s="14" t="str">
        <x:f>INDEX(Produtos!$B$2:$B$11,MATCH(E123,Produtos!$A$2:$A$11,0))</x:f>
        <x:v>Caneca Cerâmica</x:v>
      </x:c>
      <x:c r="G123" s="18" t="n">
        <x:v>5</x:v>
      </x:c>
      <x:c r="H123" s="17" t="n">
        <x:f>INDEX(Produtos!$D$2:$D$11,MATCH(E123,Produtos!$A$2:$A$11,0))</x:f>
        <x:v>32</x:v>
      </x:c>
      <x:c r="I123" s="17" t="n">
        <x:f>G123*H123</x:f>
        <x:v>160</x:v>
      </x:c>
      <x:c r="J123" s="14" t="str">
        <x:v>Boleto</x:v>
      </x:c>
      <x:c r="K123" s="14" t="str">
        <x:v>Processando</x:v>
      </x:c>
      <x:c r="L123" s="15" t="str">
        <x:f>INDEX(Clientes!$F$2:$F$101,MATCH(C123,Clientes!$A$2:$A$101,0))</x:f>
        <x:v>PR</x:v>
      </x:c>
    </x:row>
    <x:row r="124" ht="20" customHeight="1">
      <x:c r="A124" s="13" t="str">
        <x:v>PED00123</x:v>
      </x:c>
      <x:c r="B124" s="19" t="n">
        <x:v>46254</x:v>
      </x:c>
      <x:c r="C124" s="14" t="str">
        <x:v>CLI0014</x:v>
      </x:c>
      <x:c r="D124" s="14" t="str">
        <x:f>INDEX(Clientes!$B$2:$B$101,MATCH(C124,Clientes!$A$2:$A$101,0))</x:f>
        <x:v>Enzo Andrade Duarte</x:v>
      </x:c>
      <x:c r="E124" s="14" t="str">
        <x:v>PROD001</x:v>
      </x:c>
      <x:c r="F124" s="14" t="str">
        <x:f>INDEX(Produtos!$B$2:$B$11,MATCH(E124,Produtos!$A$2:$A$11,0))</x:f>
        <x:v>Caderno Universitário</x:v>
      </x:c>
      <x:c r="G124" s="18" t="n">
        <x:v>3</x:v>
      </x:c>
      <x:c r="H124" s="17" t="n">
        <x:f>INDEX(Produtos!$D$2:$D$11,MATCH(E124,Produtos!$A$2:$A$11,0))</x:f>
        <x:v>24.9</x:v>
      </x:c>
      <x:c r="I124" s="17" t="n">
        <x:f>G124*H124</x:f>
        <x:v>74.69999999999999</x:v>
      </x:c>
      <x:c r="J124" s="14" t="str">
        <x:v>Cartão de crédito</x:v>
      </x:c>
      <x:c r="K124" s="14" t="str">
        <x:v>Entregue</x:v>
      </x:c>
      <x:c r="L124" s="15" t="str">
        <x:f>INDEX(Clientes!$F$2:$F$101,MATCH(C124,Clientes!$A$2:$A$101,0))</x:f>
        <x:v>PR</x:v>
      </x:c>
    </x:row>
    <x:row r="125" ht="20" customHeight="1">
      <x:c r="A125" s="13" t="str">
        <x:v>PED00124</x:v>
      </x:c>
      <x:c r="B125" s="19" t="n">
        <x:v>46128</x:v>
      </x:c>
      <x:c r="C125" s="14" t="str">
        <x:v>CLI0064</x:v>
      </x:c>
      <x:c r="D125" s="14" t="str">
        <x:f>INDEX(Clientes!$B$2:$B$101,MATCH(C125,Clientes!$A$2:$A$101,0))</x:f>
        <x:v>Leonardo Ibrahim Machado</x:v>
      </x:c>
      <x:c r="E125" s="14" t="str">
        <x:v>PROD001</x:v>
      </x:c>
      <x:c r="F125" s="14" t="str">
        <x:f>INDEX(Produtos!$B$2:$B$11,MATCH(E125,Produtos!$A$2:$A$11,0))</x:f>
        <x:v>Caderno Universitário</x:v>
      </x:c>
      <x:c r="G125" s="18" t="n">
        <x:v>1</x:v>
      </x:c>
      <x:c r="H125" s="17" t="n">
        <x:f>INDEX(Produtos!$D$2:$D$11,MATCH(E125,Produtos!$A$2:$A$11,0))</x:f>
        <x:v>24.9</x:v>
      </x:c>
      <x:c r="I125" s="17" t="n">
        <x:f>G125*H125</x:f>
        <x:v>24.9</x:v>
      </x:c>
      <x:c r="J125" s="14" t="str">
        <x:v>Boleto</x:v>
      </x:c>
      <x:c r="K125" s="14" t="str">
        <x:v>Processando</x:v>
      </x:c>
      <x:c r="L125" s="15" t="str">
        <x:f>INDEX(Clientes!$F$2:$F$101,MATCH(C125,Clientes!$A$2:$A$101,0))</x:f>
        <x:v>SP</x:v>
      </x:c>
    </x:row>
    <x:row r="126" ht="20" customHeight="1">
      <x:c r="A126" s="13" t="str">
        <x:v>PED00125</x:v>
      </x:c>
      <x:c r="B126" s="19" t="n">
        <x:v>46173</x:v>
      </x:c>
      <x:c r="C126" s="14" t="str">
        <x:v>CLI0030</x:v>
      </x:c>
      <x:c r="D126" s="14" t="str">
        <x:f>INDEX(Clientes!$B$2:$B$101,MATCH(C126,Clientes!$A$2:$A$101,0))</x:f>
        <x:v>Henrique Gomes Batista</x:v>
      </x:c>
      <x:c r="E126" s="14" t="str">
        <x:v>PROD009</x:v>
      </x:c>
      <x:c r="F126" s="14" t="str">
        <x:f>INDEX(Produtos!$B$2:$B$11,MATCH(E126,Produtos!$A$2:$A$11,0))</x:f>
        <x:v>Carregador USB-C</x:v>
      </x:c>
      <x:c r="G126" s="18" t="n">
        <x:v>7</x:v>
      </x:c>
      <x:c r="H126" s="17" t="n">
        <x:f>INDEX(Produtos!$D$2:$D$11,MATCH(E126,Produtos!$A$2:$A$11,0))</x:f>
        <x:v>59.9</x:v>
      </x:c>
      <x:c r="I126" s="17" t="n">
        <x:f>G126*H126</x:f>
        <x:v>419.3</x:v>
      </x:c>
      <x:c r="J126" s="14" t="str">
        <x:v>Cartão de crédito</x:v>
      </x:c>
      <x:c r="K126" s="14" t="str">
        <x:v>Entregue</x:v>
      </x:c>
      <x:c r="L126" s="15" t="str">
        <x:f>INDEX(Clientes!$F$2:$F$101,MATCH(C126,Clientes!$A$2:$A$101,0))</x:f>
        <x:v>SP</x:v>
      </x:c>
    </x:row>
    <x:row r="127" ht="20" customHeight="1">
      <x:c r="A127" s="13" t="str">
        <x:v>PED00126</x:v>
      </x:c>
      <x:c r="B127" s="19" t="n">
        <x:v>46136</x:v>
      </x:c>
      <x:c r="C127" s="14" t="str">
        <x:v>CLI0024</x:v>
      </x:c>
      <x:c r="D127" s="14" t="str">
        <x:f>INDEX(Clientes!$B$2:$B$101,MATCH(C127,Clientes!$A$2:$A$101,0))</x:f>
        <x:v>João Cardoso Duarte</x:v>
      </x:c>
      <x:c r="E127" s="14" t="str">
        <x:v>PROD001</x:v>
      </x:c>
      <x:c r="F127" s="14" t="str">
        <x:f>INDEX(Produtos!$B$2:$B$11,MATCH(E127,Produtos!$A$2:$A$11,0))</x:f>
        <x:v>Caderno Universitário</x:v>
      </x:c>
      <x:c r="G127" s="18" t="n">
        <x:v>5</x:v>
      </x:c>
      <x:c r="H127" s="17" t="n">
        <x:f>INDEX(Produtos!$D$2:$D$11,MATCH(E127,Produtos!$A$2:$A$11,0))</x:f>
        <x:v>24.9</x:v>
      </x:c>
      <x:c r="I127" s="17" t="n">
        <x:f>G127*H127</x:f>
        <x:v>124.5</x:v>
      </x:c>
      <x:c r="J127" s="14" t="str">
        <x:v>Boleto</x:v>
      </x:c>
      <x:c r="K127" s="14" t="str">
        <x:v>Processando</x:v>
      </x:c>
      <x:c r="L127" s="15" t="str">
        <x:f>INDEX(Clientes!$F$2:$F$101,MATCH(C127,Clientes!$A$2:$A$101,0))</x:f>
        <x:v>SP</x:v>
      </x:c>
    </x:row>
    <x:row r="128" ht="20" customHeight="1">
      <x:c r="A128" s="13" t="str">
        <x:v>PED00127</x:v>
      </x:c>
      <x:c r="B128" s="19" t="n">
        <x:v>46063</x:v>
      </x:c>
      <x:c r="C128" s="14" t="str">
        <x:v>CLI0014</x:v>
      </x:c>
      <x:c r="D128" s="14" t="str">
        <x:f>INDEX(Clientes!$B$2:$B$101,MATCH(C128,Clientes!$A$2:$A$101,0))</x:f>
        <x:v>Enzo Andrade Duarte</x:v>
      </x:c>
      <x:c r="E128" s="14" t="str">
        <x:v>PROD003</x:v>
      </x:c>
      <x:c r="F128" s="14" t="str">
        <x:f>INDEX(Produtos!$B$2:$B$11,MATCH(E128,Produtos!$A$2:$A$11,0))</x:f>
        <x:v>Fone Bluetooth</x:v>
      </x:c>
      <x:c r="G128" s="18" t="n">
        <x:v>3</x:v>
      </x:c>
      <x:c r="H128" s="17" t="n">
        <x:f>INDEX(Produtos!$D$2:$D$11,MATCH(E128,Produtos!$A$2:$A$11,0))</x:f>
        <x:v>129.9</x:v>
      </x:c>
      <x:c r="I128" s="17" t="n">
        <x:f>G128*H128</x:f>
        <x:v>389.70000000000005</x:v>
      </x:c>
      <x:c r="J128" s="14" t="str">
        <x:v>Cartão de crédito</x:v>
      </x:c>
      <x:c r="K128" s="14" t="str">
        <x:v>Entregue</x:v>
      </x:c>
      <x:c r="L128" s="15" t="str">
        <x:f>INDEX(Clientes!$F$2:$F$101,MATCH(C128,Clientes!$A$2:$A$101,0))</x:f>
        <x:v>PR</x:v>
      </x:c>
    </x:row>
    <x:row r="129" ht="20" customHeight="1">
      <x:c r="A129" s="13" t="str">
        <x:v>PED00128</x:v>
      </x:c>
      <x:c r="B129" s="19" t="n">
        <x:v>46054</x:v>
      </x:c>
      <x:c r="C129" s="14" t="str">
        <x:v>CLI0060</x:v>
      </x:c>
      <x:c r="D129" s="14" t="str">
        <x:f>INDEX(Clientes!$B$2:$B$101,MATCH(C129,Clientes!$A$2:$A$101,0))</x:f>
        <x:v>Vinícius Teixeira Duarte</x:v>
      </x:c>
      <x:c r="E129" s="14" t="str">
        <x:v>PROD003</x:v>
      </x:c>
      <x:c r="F129" s="14" t="str">
        <x:f>INDEX(Produtos!$B$2:$B$11,MATCH(E129,Produtos!$A$2:$A$11,0))</x:f>
        <x:v>Fone Bluetooth</x:v>
      </x:c>
      <x:c r="G129" s="18" t="n">
        <x:v>1</x:v>
      </x:c>
      <x:c r="H129" s="17" t="n">
        <x:f>INDEX(Produtos!$D$2:$D$11,MATCH(E129,Produtos!$A$2:$A$11,0))</x:f>
        <x:v>129.9</x:v>
      </x:c>
      <x:c r="I129" s="17" t="n">
        <x:f>G129*H129</x:f>
        <x:v>129.9</x:v>
      </x:c>
      <x:c r="J129" s="14" t="str">
        <x:v>Boleto</x:v>
      </x:c>
      <x:c r="K129" s="14" t="str">
        <x:v>Processando</x:v>
      </x:c>
      <x:c r="L129" s="15" t="str">
        <x:f>INDEX(Clientes!$F$2:$F$101,MATCH(C129,Clientes!$A$2:$A$101,0))</x:f>
        <x:v>MG</x:v>
      </x:c>
    </x:row>
    <x:row r="130" ht="20" customHeight="1">
      <x:c r="A130" s="13" t="str">
        <x:v>PED00129</x:v>
      </x:c>
      <x:c r="B130" s="19" t="n">
        <x:v>46258</x:v>
      </x:c>
      <x:c r="C130" s="14" t="str">
        <x:v>CLI0066</x:v>
      </x:c>
      <x:c r="D130" s="14" t="str">
        <x:f>INDEX(Clientes!$B$2:$B$101,MATCH(C130,Clientes!$A$2:$A$101,0))</x:f>
        <x:v>Enzo Farias Barbosa</x:v>
      </x:c>
      <x:c r="E130" s="14" t="str">
        <x:v>PROD009</x:v>
      </x:c>
      <x:c r="F130" s="14" t="str">
        <x:f>INDEX(Produtos!$B$2:$B$11,MATCH(E130,Produtos!$A$2:$A$11,0))</x:f>
        <x:v>Carregador USB-C</x:v>
      </x:c>
      <x:c r="G130" s="18" t="n">
        <x:v>7</x:v>
      </x:c>
      <x:c r="H130" s="17" t="n">
        <x:f>INDEX(Produtos!$D$2:$D$11,MATCH(E130,Produtos!$A$2:$A$11,0))</x:f>
        <x:v>59.9</x:v>
      </x:c>
      <x:c r="I130" s="17" t="n">
        <x:f>G130*H130</x:f>
        <x:v>419.3</x:v>
      </x:c>
      <x:c r="J130" s="14" t="str">
        <x:v>Cartão de crédito</x:v>
      </x:c>
      <x:c r="K130" s="14" t="str">
        <x:v>Entregue</x:v>
      </x:c>
      <x:c r="L130" s="15" t="str">
        <x:f>INDEX(Clientes!$F$2:$F$101,MATCH(C130,Clientes!$A$2:$A$101,0))</x:f>
        <x:v>SC</x:v>
      </x:c>
    </x:row>
    <x:row r="131" ht="20" customHeight="1">
      <x:c r="A131" s="13" t="str">
        <x:v>PED00130</x:v>
      </x:c>
      <x:c r="B131" s="19" t="n">
        <x:v>46256</x:v>
      </x:c>
      <x:c r="C131" s="14" t="str">
        <x:v>CLI0080</x:v>
      </x:c>
      <x:c r="D131" s="14" t="str">
        <x:f>INDEX(Clientes!$B$2:$B$101,MATCH(C131,Clientes!$A$2:$A$101,0))</x:f>
        <x:v>Caio Nascimento Vargas</x:v>
      </x:c>
      <x:c r="E131" s="14" t="str">
        <x:v>PROD001</x:v>
      </x:c>
      <x:c r="F131" s="14" t="str">
        <x:f>INDEX(Produtos!$B$2:$B$11,MATCH(E131,Produtos!$A$2:$A$11,0))</x:f>
        <x:v>Caderno Universitário</x:v>
      </x:c>
      <x:c r="G131" s="18" t="n">
        <x:v>5</x:v>
      </x:c>
      <x:c r="H131" s="17" t="n">
        <x:f>INDEX(Produtos!$D$2:$D$11,MATCH(E131,Produtos!$A$2:$A$11,0))</x:f>
        <x:v>24.9</x:v>
      </x:c>
      <x:c r="I131" s="17" t="n">
        <x:f>G131*H131</x:f>
        <x:v>124.5</x:v>
      </x:c>
      <x:c r="J131" s="14" t="str">
        <x:v>Boleto</x:v>
      </x:c>
      <x:c r="K131" s="14" t="str">
        <x:v>Processando</x:v>
      </x:c>
      <x:c r="L131" s="15" t="str">
        <x:f>INDEX(Clientes!$F$2:$F$101,MATCH(C131,Clientes!$A$2:$A$101,0))</x:f>
        <x:v>SC</x:v>
      </x:c>
    </x:row>
    <x:row r="132" ht="20" customHeight="1">
      <x:c r="A132" s="13" t="str">
        <x:v>PED00131</x:v>
      </x:c>
      <x:c r="B132" s="19" t="n">
        <x:v>46133</x:v>
      </x:c>
      <x:c r="C132" s="14" t="str">
        <x:v>CLI0066</x:v>
      </x:c>
      <x:c r="D132" s="14" t="str">
        <x:f>INDEX(Clientes!$B$2:$B$101,MATCH(C132,Clientes!$A$2:$A$101,0))</x:f>
        <x:v>Enzo Farias Barbosa</x:v>
      </x:c>
      <x:c r="E132" s="14" t="str">
        <x:v>PROD005</x:v>
      </x:c>
      <x:c r="F132" s="14" t="str">
        <x:f>INDEX(Produtos!$B$2:$B$11,MATCH(E132,Produtos!$A$2:$A$11,0))</x:f>
        <x:v>Luminária de Mesa LED</x:v>
      </x:c>
      <x:c r="G132" s="18" t="n">
        <x:v>3</x:v>
      </x:c>
      <x:c r="H132" s="17" t="n">
        <x:f>INDEX(Produtos!$D$2:$D$11,MATCH(E132,Produtos!$A$2:$A$11,0))</x:f>
        <x:v>89.5</x:v>
      </x:c>
      <x:c r="I132" s="17" t="n">
        <x:f>G132*H132</x:f>
        <x:v>268.5</x:v>
      </x:c>
      <x:c r="J132" s="14" t="str">
        <x:v>Cartão de crédito</x:v>
      </x:c>
      <x:c r="K132" s="14" t="str">
        <x:v>Entregue</x:v>
      </x:c>
      <x:c r="L132" s="15" t="str">
        <x:f>INDEX(Clientes!$F$2:$F$101,MATCH(C132,Clientes!$A$2:$A$101,0))</x:f>
        <x:v>SC</x:v>
      </x:c>
    </x:row>
    <x:row r="133" ht="20" customHeight="1">
      <x:c r="A133" s="13" t="str">
        <x:v>PED00132</x:v>
      </x:c>
      <x:c r="B133" s="19" t="n">
        <x:v>46092</x:v>
      </x:c>
      <x:c r="C133" s="14" t="str">
        <x:v>CLI0080</x:v>
      </x:c>
      <x:c r="D133" s="14" t="str">
        <x:f>INDEX(Clientes!$B$2:$B$101,MATCH(C133,Clientes!$A$2:$A$101,0))</x:f>
        <x:v>Caio Nascimento Vargas</x:v>
      </x:c>
      <x:c r="E133" s="14" t="str">
        <x:v>PROD001</x:v>
      </x:c>
      <x:c r="F133" s="14" t="str">
        <x:f>INDEX(Produtos!$B$2:$B$11,MATCH(E133,Produtos!$A$2:$A$11,0))</x:f>
        <x:v>Caderno Universitário</x:v>
      </x:c>
      <x:c r="G133" s="18" t="n">
        <x:v>1</x:v>
      </x:c>
      <x:c r="H133" s="17" t="n">
        <x:f>INDEX(Produtos!$D$2:$D$11,MATCH(E133,Produtos!$A$2:$A$11,0))</x:f>
        <x:v>24.9</x:v>
      </x:c>
      <x:c r="I133" s="17" t="n">
        <x:f>G133*H133</x:f>
        <x:v>24.9</x:v>
      </x:c>
      <x:c r="J133" s="14" t="str">
        <x:v>Boleto</x:v>
      </x:c>
      <x:c r="K133" s="14" t="str">
        <x:v>Processando</x:v>
      </x:c>
      <x:c r="L133" s="15" t="str">
        <x:f>INDEX(Clientes!$F$2:$F$101,MATCH(C133,Clientes!$A$2:$A$101,0))</x:f>
        <x:v>SC</x:v>
      </x:c>
    </x:row>
    <x:row r="134" ht="20" customHeight="1">
      <x:c r="A134" s="13" t="str">
        <x:v>PED00133</x:v>
      </x:c>
      <x:c r="B134" s="19" t="n">
        <x:v>46212</x:v>
      </x:c>
      <x:c r="C134" s="14" t="str">
        <x:v>CLI0050</x:v>
      </x:c>
      <x:c r="D134" s="14" t="str">
        <x:f>INDEX(Clientes!$B$2:$B$101,MATCH(C134,Clientes!$A$2:$A$101,0))</x:f>
        <x:v>Pedro Ramos Dias</x:v>
      </x:c>
      <x:c r="E134" s="14" t="str">
        <x:v>PROD007</x:v>
      </x:c>
      <x:c r="F134" s="14" t="str">
        <x:f>INDEX(Produtos!$B$2:$B$11,MATCH(E134,Produtos!$A$2:$A$11,0))</x:f>
        <x:v>Caneca Cerâmica</x:v>
      </x:c>
      <x:c r="G134" s="18" t="n">
        <x:v>7</x:v>
      </x:c>
      <x:c r="H134" s="17" t="n">
        <x:f>INDEX(Produtos!$D$2:$D$11,MATCH(E134,Produtos!$A$2:$A$11,0))</x:f>
        <x:v>32</x:v>
      </x:c>
      <x:c r="I134" s="17" t="n">
        <x:f>G134*H134</x:f>
        <x:v>224</x:v>
      </x:c>
      <x:c r="J134" s="14" t="str">
        <x:v>Cartão de crédito</x:v>
      </x:c>
      <x:c r="K134" s="14" t="str">
        <x:v>Entregue</x:v>
      </x:c>
      <x:c r="L134" s="15" t="str">
        <x:f>INDEX(Clientes!$F$2:$F$101,MATCH(C134,Clientes!$A$2:$A$101,0))</x:f>
        <x:v>SC</x:v>
      </x:c>
    </x:row>
    <x:row r="135" ht="20" customHeight="1">
      <x:c r="A135" s="13" t="str">
        <x:v>PED00134</x:v>
      </x:c>
      <x:c r="B135" s="19" t="n">
        <x:v>46102</x:v>
      </x:c>
      <x:c r="C135" s="14" t="str">
        <x:v>CLI0088</x:v>
      </x:c>
      <x:c r="D135" s="14" t="str">
        <x:f>INDEX(Clientes!$B$2:$B$101,MATCH(C135,Clientes!$A$2:$A$101,0))</x:f>
        <x:v>Samuel Rocha Ferreira</x:v>
      </x:c>
      <x:c r="E135" s="14" t="str">
        <x:v>PROD001</x:v>
      </x:c>
      <x:c r="F135" s="14" t="str">
        <x:f>INDEX(Produtos!$B$2:$B$11,MATCH(E135,Produtos!$A$2:$A$11,0))</x:f>
        <x:v>Caderno Universitário</x:v>
      </x:c>
      <x:c r="G135" s="18" t="n">
        <x:v>5</x:v>
      </x:c>
      <x:c r="H135" s="17" t="n">
        <x:f>INDEX(Produtos!$D$2:$D$11,MATCH(E135,Produtos!$A$2:$A$11,0))</x:f>
        <x:v>24.9</x:v>
      </x:c>
      <x:c r="I135" s="17" t="n">
        <x:f>G135*H135</x:f>
        <x:v>124.5</x:v>
      </x:c>
      <x:c r="J135" s="14" t="str">
        <x:v>Boleto</x:v>
      </x:c>
      <x:c r="K135" s="14" t="str">
        <x:v>Processando</x:v>
      </x:c>
      <x:c r="L135" s="15" t="str">
        <x:f>INDEX(Clientes!$F$2:$F$101,MATCH(C135,Clientes!$A$2:$A$101,0))</x:f>
        <x:v>MG</x:v>
      </x:c>
    </x:row>
    <x:row r="136" ht="20" customHeight="1">
      <x:c r="A136" s="13" t="str">
        <x:v>PED00135</x:v>
      </x:c>
      <x:c r="B136" s="19" t="n">
        <x:v>46042</x:v>
      </x:c>
      <x:c r="C136" s="14" t="str">
        <x:v>CLI0002</x:v>
      </x:c>
      <x:c r="D136" s="14" t="str">
        <x:f>INDEX(Clientes!$B$2:$B$101,MATCH(C136,Clientes!$A$2:$A$101,0))</x:f>
        <x:v>Enzo Cardoso Mendes</x:v>
      </x:c>
      <x:c r="E136" s="14" t="str">
        <x:v>PROD009</x:v>
      </x:c>
      <x:c r="F136" s="14" t="str">
        <x:f>INDEX(Produtos!$B$2:$B$11,MATCH(E136,Produtos!$A$2:$A$11,0))</x:f>
        <x:v>Carregador USB-C</x:v>
      </x:c>
      <x:c r="G136" s="18" t="n">
        <x:v>3</x:v>
      </x:c>
      <x:c r="H136" s="17" t="n">
        <x:f>INDEX(Produtos!$D$2:$D$11,MATCH(E136,Produtos!$A$2:$A$11,0))</x:f>
        <x:v>59.9</x:v>
      </x:c>
      <x:c r="I136" s="17" t="n">
        <x:f>G136*H136</x:f>
        <x:v>179.7</x:v>
      </x:c>
      <x:c r="J136" s="14" t="str">
        <x:v>Cartão de crédito</x:v>
      </x:c>
      <x:c r="K136" s="14" t="str">
        <x:v>Entregue</x:v>
      </x:c>
      <x:c r="L136" s="15" t="str">
        <x:f>INDEX(Clientes!$F$2:$F$101,MATCH(C136,Clientes!$A$2:$A$101,0))</x:f>
        <x:v>PR</x:v>
      </x:c>
    </x:row>
    <x:row r="137" ht="20" customHeight="1">
      <x:c r="A137" s="13" t="str">
        <x:v>PED00136</x:v>
      </x:c>
      <x:c r="B137" s="19" t="n">
        <x:v>46241</x:v>
      </x:c>
      <x:c r="C137" s="14" t="str">
        <x:v>CLI0008</x:v>
      </x:c>
      <x:c r="D137" s="14" t="str">
        <x:f>INDEX(Clientes!$B$2:$B$101,MATCH(C137,Clientes!$A$2:$A$101,0))</x:f>
        <x:v>Enzo Esteves Junqueira</x:v>
      </x:c>
      <x:c r="E137" s="14" t="str">
        <x:v>PROD005</x:v>
      </x:c>
      <x:c r="F137" s="14" t="str">
        <x:f>INDEX(Produtos!$B$2:$B$11,MATCH(E137,Produtos!$A$2:$A$11,0))</x:f>
        <x:v>Luminária de Mesa LED</x:v>
      </x:c>
      <x:c r="G137" s="18" t="n">
        <x:v>1</x:v>
      </x:c>
      <x:c r="H137" s="17" t="n">
        <x:f>INDEX(Produtos!$D$2:$D$11,MATCH(E137,Produtos!$A$2:$A$11,0))</x:f>
        <x:v>89.5</x:v>
      </x:c>
      <x:c r="I137" s="17" t="n">
        <x:f>G137*H137</x:f>
        <x:v>89.5</x:v>
      </x:c>
      <x:c r="J137" s="14" t="str">
        <x:v>Boleto</x:v>
      </x:c>
      <x:c r="K137" s="14" t="str">
        <x:v>Processando</x:v>
      </x:c>
      <x:c r="L137" s="15" t="str">
        <x:f>INDEX(Clientes!$F$2:$F$101,MATCH(C137,Clientes!$A$2:$A$101,0))</x:f>
        <x:v>PR</x:v>
      </x:c>
    </x:row>
    <x:row r="138" ht="20" customHeight="1">
      <x:c r="A138" s="13" t="str">
        <x:v>PED00137</x:v>
      </x:c>
      <x:c r="B138" s="19" t="n">
        <x:v>46025</x:v>
      </x:c>
      <x:c r="C138" s="14" t="str">
        <x:v>CLI0094</x:v>
      </x:c>
      <x:c r="D138" s="14" t="str">
        <x:f>INDEX(Clientes!$B$2:$B$101,MATCH(C138,Clientes!$A$2:$A$101,0))</x:f>
        <x:v>Daniel Pereira Henrique</x:v>
      </x:c>
      <x:c r="E138" s="14" t="str">
        <x:v>PROD005</x:v>
      </x:c>
      <x:c r="F138" s="14" t="str">
        <x:f>INDEX(Produtos!$B$2:$B$11,MATCH(E138,Produtos!$A$2:$A$11,0))</x:f>
        <x:v>Luminária de Mesa LED</x:v>
      </x:c>
      <x:c r="G138" s="18" t="n">
        <x:v>7</x:v>
      </x:c>
      <x:c r="H138" s="17" t="n">
        <x:f>INDEX(Produtos!$D$2:$D$11,MATCH(E138,Produtos!$A$2:$A$11,0))</x:f>
        <x:v>89.5</x:v>
      </x:c>
      <x:c r="I138" s="17" t="n">
        <x:f>G138*H138</x:f>
        <x:v>626.5</x:v>
      </x:c>
      <x:c r="J138" s="14" t="str">
        <x:v>Cartão de crédito</x:v>
      </x:c>
      <x:c r="K138" s="14" t="str">
        <x:v>Entregue</x:v>
      </x:c>
      <x:c r="L138" s="15" t="str">
        <x:f>INDEX(Clientes!$F$2:$F$101,MATCH(C138,Clientes!$A$2:$A$101,0))</x:f>
        <x:v>PR</x:v>
      </x:c>
    </x:row>
    <x:row r="139" ht="20" customHeight="1">
      <x:c r="A139" s="13" t="str">
        <x:v>PED00138</x:v>
      </x:c>
      <x:c r="B139" s="19" t="n">
        <x:v>46062</x:v>
      </x:c>
      <x:c r="C139" s="14" t="str">
        <x:v>CLI0096</x:v>
      </x:c>
      <x:c r="D139" s="14" t="str">
        <x:f>INDEX(Clientes!$B$2:$B$101,MATCH(C139,Clientes!$A$2:$A$101,0))</x:f>
        <x:v>Bruno Farias Henrique</x:v>
      </x:c>
      <x:c r="E139" s="14" t="str">
        <x:v>PROD001</x:v>
      </x:c>
      <x:c r="F139" s="14" t="str">
        <x:f>INDEX(Produtos!$B$2:$B$11,MATCH(E139,Produtos!$A$2:$A$11,0))</x:f>
        <x:v>Caderno Universitário</x:v>
      </x:c>
      <x:c r="G139" s="18" t="n">
        <x:v>5</x:v>
      </x:c>
      <x:c r="H139" s="17" t="n">
        <x:f>INDEX(Produtos!$D$2:$D$11,MATCH(E139,Produtos!$A$2:$A$11,0))</x:f>
        <x:v>24.9</x:v>
      </x:c>
      <x:c r="I139" s="17" t="n">
        <x:f>G139*H139</x:f>
        <x:v>124.5</x:v>
      </x:c>
      <x:c r="J139" s="14" t="str">
        <x:v>Boleto</x:v>
      </x:c>
      <x:c r="K139" s="14" t="str">
        <x:v>Processando</x:v>
      </x:c>
      <x:c r="L139" s="15" t="str">
        <x:f>INDEX(Clientes!$F$2:$F$101,MATCH(C139,Clientes!$A$2:$A$101,0))</x:f>
        <x:v>MG</x:v>
      </x:c>
    </x:row>
    <x:row r="140" ht="20" customHeight="1">
      <x:c r="A140" s="13" t="str">
        <x:v>PED00139</x:v>
      </x:c>
      <x:c r="B140" s="19" t="n">
        <x:v>46127</x:v>
      </x:c>
      <x:c r="C140" s="14" t="str">
        <x:v>CLI0070</x:v>
      </x:c>
      <x:c r="D140" s="14" t="str">
        <x:f>INDEX(Clientes!$B$2:$B$101,MATCH(C140,Clientes!$A$2:$A$101,0))</x:f>
        <x:v>Bruno Rocha Barbosa</x:v>
      </x:c>
      <x:c r="E140" s="14" t="str">
        <x:v>PROD009</x:v>
      </x:c>
      <x:c r="F140" s="14" t="str">
        <x:f>INDEX(Produtos!$B$2:$B$11,MATCH(E140,Produtos!$A$2:$A$11,0))</x:f>
        <x:v>Carregador USB-C</x:v>
      </x:c>
      <x:c r="G140" s="18" t="n">
        <x:v>3</x:v>
      </x:c>
      <x:c r="H140" s="17" t="n">
        <x:f>INDEX(Produtos!$D$2:$D$11,MATCH(E140,Produtos!$A$2:$A$11,0))</x:f>
        <x:v>59.9</x:v>
      </x:c>
      <x:c r="I140" s="17" t="n">
        <x:f>G140*H140</x:f>
        <x:v>179.7</x:v>
      </x:c>
      <x:c r="J140" s="14" t="str">
        <x:v>Cartão de crédito</x:v>
      </x:c>
      <x:c r="K140" s="14" t="str">
        <x:v>Entregue</x:v>
      </x:c>
      <x:c r="L140" s="15" t="str">
        <x:f>INDEX(Clientes!$F$2:$F$101,MATCH(C140,Clientes!$A$2:$A$101,0))</x:f>
        <x:v>SC</x:v>
      </x:c>
    </x:row>
    <x:row r="141" ht="20" customHeight="1">
      <x:c r="A141" s="13" t="str">
        <x:v>PED00140</x:v>
      </x:c>
      <x:c r="B141" s="19" t="n">
        <x:v>46044</x:v>
      </x:c>
      <x:c r="C141" s="14" t="str">
        <x:v>CLI0052</x:v>
      </x:c>
      <x:c r="D141" s="14" t="str">
        <x:f>INDEX(Clientes!$B$2:$B$101,MATCH(C141,Clientes!$A$2:$A$101,0))</x:f>
        <x:v>Caio Rocha Dias</x:v>
      </x:c>
      <x:c r="E141" s="14" t="str">
        <x:v>PROD007</x:v>
      </x:c>
      <x:c r="F141" s="14" t="str">
        <x:f>INDEX(Produtos!$B$2:$B$11,MATCH(E141,Produtos!$A$2:$A$11,0))</x:f>
        <x:v>Caneca Cerâmica</x:v>
      </x:c>
      <x:c r="G141" s="18" t="n">
        <x:v>1</x:v>
      </x:c>
      <x:c r="H141" s="17" t="n">
        <x:f>INDEX(Produtos!$D$2:$D$11,MATCH(E141,Produtos!$A$2:$A$11,0))</x:f>
        <x:v>32</x:v>
      </x:c>
      <x:c r="I141" s="17" t="n">
        <x:f>G141*H141</x:f>
        <x:v>32</x:v>
      </x:c>
      <x:c r="J141" s="14" t="str">
        <x:v>Boleto</x:v>
      </x:c>
      <x:c r="K141" s="14" t="str">
        <x:v>Processando</x:v>
      </x:c>
      <x:c r="L141" s="15" t="str">
        <x:f>INDEX(Clientes!$F$2:$F$101,MATCH(C141,Clientes!$A$2:$A$101,0))</x:f>
        <x:v>SP</x:v>
      </x:c>
    </x:row>
    <x:row r="142" ht="20" customHeight="1">
      <x:c r="A142" s="13" t="str">
        <x:v>PED00141</x:v>
      </x:c>
      <x:c r="B142" s="19" t="n">
        <x:v>46049</x:v>
      </x:c>
      <x:c r="C142" s="14" t="str">
        <x:v>CLI0018</x:v>
      </x:c>
      <x:c r="D142" s="14" t="str">
        <x:f>INDEX(Clientes!$B$2:$B$101,MATCH(C142,Clientes!$A$2:$A$101,0))</x:f>
        <x:v>Bruno Cardoso Dias</x:v>
      </x:c>
      <x:c r="E142" s="14" t="str">
        <x:v>PROD005</x:v>
      </x:c>
      <x:c r="F142" s="14" t="str">
        <x:f>INDEX(Produtos!$B$2:$B$11,MATCH(E142,Produtos!$A$2:$A$11,0))</x:f>
        <x:v>Luminária de Mesa LED</x:v>
      </x:c>
      <x:c r="G142" s="18" t="n">
        <x:v>7</x:v>
      </x:c>
      <x:c r="H142" s="17" t="n">
        <x:f>INDEX(Produtos!$D$2:$D$11,MATCH(E142,Produtos!$A$2:$A$11,0))</x:f>
        <x:v>89.5</x:v>
      </x:c>
      <x:c r="I142" s="17" t="n">
        <x:f>G142*H142</x:f>
        <x:v>626.5</x:v>
      </x:c>
      <x:c r="J142" s="14" t="str">
        <x:v>Cartão de crédito</x:v>
      </x:c>
      <x:c r="K142" s="14" t="str">
        <x:v>Entregue</x:v>
      </x:c>
      <x:c r="L142" s="15" t="str">
        <x:f>INDEX(Clientes!$F$2:$F$101,MATCH(C142,Clientes!$A$2:$A$101,0))</x:f>
        <x:v>BA</x:v>
      </x:c>
    </x:row>
    <x:row r="143" ht="20" customHeight="1">
      <x:c r="A143" s="13" t="str">
        <x:v>PED00142</x:v>
      </x:c>
      <x:c r="B143" s="19" t="n">
        <x:v>46090</x:v>
      </x:c>
      <x:c r="C143" s="14" t="str">
        <x:v>CLI0080</x:v>
      </x:c>
      <x:c r="D143" s="14" t="str">
        <x:f>INDEX(Clientes!$B$2:$B$101,MATCH(C143,Clientes!$A$2:$A$101,0))</x:f>
        <x:v>Caio Nascimento Vargas</x:v>
      </x:c>
      <x:c r="E143" s="14" t="str">
        <x:v>PROD007</x:v>
      </x:c>
      <x:c r="F143" s="14" t="str">
        <x:f>INDEX(Produtos!$B$2:$B$11,MATCH(E143,Produtos!$A$2:$A$11,0))</x:f>
        <x:v>Caneca Cerâmica</x:v>
      </x:c>
      <x:c r="G143" s="18" t="n">
        <x:v>5</x:v>
      </x:c>
      <x:c r="H143" s="17" t="n">
        <x:f>INDEX(Produtos!$D$2:$D$11,MATCH(E143,Produtos!$A$2:$A$11,0))</x:f>
        <x:v>32</x:v>
      </x:c>
      <x:c r="I143" s="17" t="n">
        <x:f>G143*H143</x:f>
        <x:v>160</x:v>
      </x:c>
      <x:c r="J143" s="14" t="str">
        <x:v>Boleto</x:v>
      </x:c>
      <x:c r="K143" s="14" t="str">
        <x:v>Processando</x:v>
      </x:c>
      <x:c r="L143" s="15" t="str">
        <x:f>INDEX(Clientes!$F$2:$F$101,MATCH(C143,Clientes!$A$2:$A$101,0))</x:f>
        <x:v>SC</x:v>
      </x:c>
    </x:row>
    <x:row r="144" ht="20" customHeight="1">
      <x:c r="A144" s="13" t="str">
        <x:v>PED00143</x:v>
      </x:c>
      <x:c r="B144" s="19" t="n">
        <x:v>46082</x:v>
      </x:c>
      <x:c r="C144" s="14" t="str">
        <x:v>CLI0086</x:v>
      </x:c>
      <x:c r="D144" s="14" t="str">
        <x:f>INDEX(Clientes!$B$2:$B$101,MATCH(C144,Clientes!$A$2:$A$101,0))</x:f>
        <x:v>Pedro Lopes Henrique</x:v>
      </x:c>
      <x:c r="E144" s="14" t="str">
        <x:v>PROD007</x:v>
      </x:c>
      <x:c r="F144" s="14" t="str">
        <x:f>INDEX(Produtos!$B$2:$B$11,MATCH(E144,Produtos!$A$2:$A$11,0))</x:f>
        <x:v>Caneca Cerâmica</x:v>
      </x:c>
      <x:c r="G144" s="18" t="n">
        <x:v>3</x:v>
      </x:c>
      <x:c r="H144" s="17" t="n">
        <x:f>INDEX(Produtos!$D$2:$D$11,MATCH(E144,Produtos!$A$2:$A$11,0))</x:f>
        <x:v>32</x:v>
      </x:c>
      <x:c r="I144" s="17" t="n">
        <x:f>G144*H144</x:f>
        <x:v>96</x:v>
      </x:c>
      <x:c r="J144" s="14" t="str">
        <x:v>Cartão de crédito</x:v>
      </x:c>
      <x:c r="K144" s="14" t="str">
        <x:v>Entregue</x:v>
      </x:c>
      <x:c r="L144" s="15" t="str">
        <x:f>INDEX(Clientes!$F$2:$F$101,MATCH(C144,Clientes!$A$2:$A$101,0))</x:f>
        <x:v>PR</x:v>
      </x:c>
    </x:row>
    <x:row r="145" ht="20" customHeight="1">
      <x:c r="A145" s="13" t="str">
        <x:v>PED00144</x:v>
      </x:c>
      <x:c r="B145" s="19" t="n">
        <x:v>46039</x:v>
      </x:c>
      <x:c r="C145" s="14" t="str">
        <x:v>CLI0020</x:v>
      </x:c>
      <x:c r="D145" s="14" t="str">
        <x:f>INDEX(Clientes!$B$2:$B$101,MATCH(C145,Clientes!$A$2:$A$101,0))</x:f>
        <x:v>João Esteves Garcia</x:v>
      </x:c>
      <x:c r="E145" s="14" t="str">
        <x:v>PROD005</x:v>
      </x:c>
      <x:c r="F145" s="14" t="str">
        <x:f>INDEX(Produtos!$B$2:$B$11,MATCH(E145,Produtos!$A$2:$A$11,0))</x:f>
        <x:v>Luminária de Mesa LED</x:v>
      </x:c>
      <x:c r="G145" s="18" t="n">
        <x:v>1</x:v>
      </x:c>
      <x:c r="H145" s="17" t="n">
        <x:f>INDEX(Produtos!$D$2:$D$11,MATCH(E145,Produtos!$A$2:$A$11,0))</x:f>
        <x:v>89.5</x:v>
      </x:c>
      <x:c r="I145" s="17" t="n">
        <x:f>G145*H145</x:f>
        <x:v>89.5</x:v>
      </x:c>
      <x:c r="J145" s="14" t="str">
        <x:v>Boleto</x:v>
      </x:c>
      <x:c r="K145" s="14" t="str">
        <x:v>Processando</x:v>
      </x:c>
      <x:c r="L145" s="15" t="str">
        <x:f>INDEX(Clientes!$F$2:$F$101,MATCH(C145,Clientes!$A$2:$A$101,0))</x:f>
        <x:v>MG</x:v>
      </x:c>
    </x:row>
    <x:row r="146" ht="20" customHeight="1">
      <x:c r="A146" s="13" t="str">
        <x:v>PED00145</x:v>
      </x:c>
      <x:c r="B146" s="19" t="n">
        <x:v>46176</x:v>
      </x:c>
      <x:c r="C146" s="14" t="str">
        <x:v>CLI0030</x:v>
      </x:c>
      <x:c r="D146" s="14" t="str">
        <x:f>INDEX(Clientes!$B$2:$B$101,MATCH(C146,Clientes!$A$2:$A$101,0))</x:f>
        <x:v>Henrique Gomes Batista</x:v>
      </x:c>
      <x:c r="E146" s="14" t="str">
        <x:v>PROD009</x:v>
      </x:c>
      <x:c r="F146" s="14" t="str">
        <x:f>INDEX(Produtos!$B$2:$B$11,MATCH(E146,Produtos!$A$2:$A$11,0))</x:f>
        <x:v>Carregador USB-C</x:v>
      </x:c>
      <x:c r="G146" s="18" t="n">
        <x:v>7</x:v>
      </x:c>
      <x:c r="H146" s="17" t="n">
        <x:f>INDEX(Produtos!$D$2:$D$11,MATCH(E146,Produtos!$A$2:$A$11,0))</x:f>
        <x:v>59.9</x:v>
      </x:c>
      <x:c r="I146" s="17" t="n">
        <x:f>G146*H146</x:f>
        <x:v>419.3</x:v>
      </x:c>
      <x:c r="J146" s="14" t="str">
        <x:v>Cartão de crédito</x:v>
      </x:c>
      <x:c r="K146" s="14" t="str">
        <x:v>Entregue</x:v>
      </x:c>
      <x:c r="L146" s="15" t="str">
        <x:f>INDEX(Clientes!$F$2:$F$101,MATCH(C146,Clientes!$A$2:$A$101,0))</x:f>
        <x:v>SP</x:v>
      </x:c>
    </x:row>
    <x:row r="147" ht="20" customHeight="1">
      <x:c r="A147" s="13" t="str">
        <x:v>PED00146</x:v>
      </x:c>
      <x:c r="B147" s="19" t="n">
        <x:v>46102</x:v>
      </x:c>
      <x:c r="C147" s="14" t="str">
        <x:v>CLI0036</x:v>
      </x:c>
      <x:c r="D147" s="14" t="str">
        <x:f>INDEX(Clientes!$B$2:$B$101,MATCH(C147,Clientes!$A$2:$A$101,0))</x:f>
        <x:v>Enzo Teixeira Machado</x:v>
      </x:c>
      <x:c r="E147" s="14" t="str">
        <x:v>PROD001</x:v>
      </x:c>
      <x:c r="F147" s="14" t="str">
        <x:f>INDEX(Produtos!$B$2:$B$11,MATCH(E147,Produtos!$A$2:$A$11,0))</x:f>
        <x:v>Caderno Universitário</x:v>
      </x:c>
      <x:c r="G147" s="18" t="n">
        <x:v>5</x:v>
      </x:c>
      <x:c r="H147" s="17" t="n">
        <x:f>INDEX(Produtos!$D$2:$D$11,MATCH(E147,Produtos!$A$2:$A$11,0))</x:f>
        <x:v>24.9</x:v>
      </x:c>
      <x:c r="I147" s="17" t="n">
        <x:f>G147*H147</x:f>
        <x:v>124.5</x:v>
      </x:c>
      <x:c r="J147" s="14" t="str">
        <x:v>Boleto</x:v>
      </x:c>
      <x:c r="K147" s="14" t="str">
        <x:v>Processando</x:v>
      </x:c>
      <x:c r="L147" s="15" t="str">
        <x:f>INDEX(Clientes!$F$2:$F$101,MATCH(C147,Clientes!$A$2:$A$101,0))</x:f>
        <x:v>SP</x:v>
      </x:c>
    </x:row>
    <x:row r="148" ht="20" customHeight="1">
      <x:c r="A148" s="13" t="str">
        <x:v>PED00147</x:v>
      </x:c>
      <x:c r="B148" s="19" t="n">
        <x:v>46123</x:v>
      </x:c>
      <x:c r="C148" s="14" t="str">
        <x:v>CLI0042</x:v>
      </x:c>
      <x:c r="D148" s="14" t="str">
        <x:f>INDEX(Clientes!$B$2:$B$101,MATCH(C148,Clientes!$A$2:$A$101,0))</x:f>
        <x:v>João Rocha Batista</x:v>
      </x:c>
      <x:c r="E148" s="14" t="str">
        <x:v>PROD001</x:v>
      </x:c>
      <x:c r="F148" s="14" t="str">
        <x:f>INDEX(Produtos!$B$2:$B$11,MATCH(E148,Produtos!$A$2:$A$11,0))</x:f>
        <x:v>Caderno Universitário</x:v>
      </x:c>
      <x:c r="G148" s="18" t="n">
        <x:v>3</x:v>
      </x:c>
      <x:c r="H148" s="17" t="n">
        <x:f>INDEX(Produtos!$D$2:$D$11,MATCH(E148,Produtos!$A$2:$A$11,0))</x:f>
        <x:v>24.9</x:v>
      </x:c>
      <x:c r="I148" s="17" t="n">
        <x:f>G148*H148</x:f>
        <x:v>74.69999999999999</x:v>
      </x:c>
      <x:c r="J148" s="14" t="str">
        <x:v>Cartão de crédito</x:v>
      </x:c>
      <x:c r="K148" s="14" t="str">
        <x:v>Entregue</x:v>
      </x:c>
      <x:c r="L148" s="15" t="str">
        <x:f>INDEX(Clientes!$F$2:$F$101,MATCH(C148,Clientes!$A$2:$A$101,0))</x:f>
        <x:v>PR</x:v>
      </x:c>
    </x:row>
    <x:row r="149" ht="20" customHeight="1">
      <x:c r="A149" s="13" t="str">
        <x:v>PED00148</x:v>
      </x:c>
      <x:c r="B149" s="19" t="n">
        <x:v>46239</x:v>
      </x:c>
      <x:c r="C149" s="14" t="str">
        <x:v>CLI0072</x:v>
      </x:c>
      <x:c r="D149" s="14" t="str">
        <x:f>INDEX(Clientes!$B$2:$B$101,MATCH(C149,Clientes!$A$2:$A$101,0))</x:f>
        <x:v>Leonardo Farias Dias</x:v>
      </x:c>
      <x:c r="E149" s="14" t="str">
        <x:v>PROD003</x:v>
      </x:c>
      <x:c r="F149" s="14" t="str">
        <x:f>INDEX(Produtos!$B$2:$B$11,MATCH(E149,Produtos!$A$2:$A$11,0))</x:f>
        <x:v>Fone Bluetooth</x:v>
      </x:c>
      <x:c r="G149" s="18" t="n">
        <x:v>1</x:v>
      </x:c>
      <x:c r="H149" s="17" t="n">
        <x:f>INDEX(Produtos!$D$2:$D$11,MATCH(E149,Produtos!$A$2:$A$11,0))</x:f>
        <x:v>129.9</x:v>
      </x:c>
      <x:c r="I149" s="17" t="n">
        <x:f>G149*H149</x:f>
        <x:v>129.9</x:v>
      </x:c>
      <x:c r="J149" s="14" t="str">
        <x:v>Boleto</x:v>
      </x:c>
      <x:c r="K149" s="14" t="str">
        <x:v>Processando</x:v>
      </x:c>
      <x:c r="L149" s="15" t="str">
        <x:f>INDEX(Clientes!$F$2:$F$101,MATCH(C149,Clientes!$A$2:$A$101,0))</x:f>
        <x:v>SP</x:v>
      </x:c>
    </x:row>
    <x:row r="150" ht="20" customHeight="1">
      <x:c r="A150" s="13" t="str">
        <x:v>PED00149</x:v>
      </x:c>
      <x:c r="B150" s="19" t="n">
        <x:v>46217</x:v>
      </x:c>
      <x:c r="C150" s="14" t="str">
        <x:v>CLI0010</x:v>
      </x:c>
      <x:c r="D150" s="14" t="str">
        <x:f>INDEX(Clientes!$B$2:$B$101,MATCH(C150,Clientes!$A$2:$A$101,0))</x:f>
        <x:v>Samuel Almeida Henrique</x:v>
      </x:c>
      <x:c r="E150" s="14" t="str">
        <x:v>PROD007</x:v>
      </x:c>
      <x:c r="F150" s="14" t="str">
        <x:f>INDEX(Produtos!$B$2:$B$11,MATCH(E150,Produtos!$A$2:$A$11,0))</x:f>
        <x:v>Caneca Cerâmica</x:v>
      </x:c>
      <x:c r="G150" s="18" t="n">
        <x:v>7</x:v>
      </x:c>
      <x:c r="H150" s="17" t="n">
        <x:f>INDEX(Produtos!$D$2:$D$11,MATCH(E150,Produtos!$A$2:$A$11,0))</x:f>
        <x:v>32</x:v>
      </x:c>
      <x:c r="I150" s="17" t="n">
        <x:f>G150*H150</x:f>
        <x:v>224</x:v>
      </x:c>
      <x:c r="J150" s="14" t="str">
        <x:v>Cartão de crédito</x:v>
      </x:c>
      <x:c r="K150" s="14" t="str">
        <x:v>Entregue</x:v>
      </x:c>
      <x:c r="L150" s="15" t="str">
        <x:f>INDEX(Clientes!$F$2:$F$101,MATCH(C150,Clientes!$A$2:$A$101,0))</x:f>
        <x:v>PR</x:v>
      </x:c>
    </x:row>
    <x:row r="151" ht="20" customHeight="1">
      <x:c r="A151" s="13" t="str">
        <x:v>PED00150</x:v>
      </x:c>
      <x:c r="B151" s="19" t="n">
        <x:v>46286</x:v>
      </x:c>
      <x:c r="C151" s="14" t="str">
        <x:v>CLI0052</x:v>
      </x:c>
      <x:c r="D151" s="14" t="str">
        <x:f>INDEX(Clientes!$B$2:$B$101,MATCH(C151,Clientes!$A$2:$A$101,0))</x:f>
        <x:v>Caio Rocha Dias</x:v>
      </x:c>
      <x:c r="E151" s="14" t="str">
        <x:v>PROD003</x:v>
      </x:c>
      <x:c r="F151" s="14" t="str">
        <x:f>INDEX(Produtos!$B$2:$B$11,MATCH(E151,Produtos!$A$2:$A$11,0))</x:f>
        <x:v>Fone Bluetooth</x:v>
      </x:c>
      <x:c r="G151" s="18" t="n">
        <x:v>5</x:v>
      </x:c>
      <x:c r="H151" s="17" t="n">
        <x:f>INDEX(Produtos!$D$2:$D$11,MATCH(E151,Produtos!$A$2:$A$11,0))</x:f>
        <x:v>129.9</x:v>
      </x:c>
      <x:c r="I151" s="17" t="n">
        <x:f>G151*H151</x:f>
        <x:v>649.5</x:v>
      </x:c>
      <x:c r="J151" s="14" t="str">
        <x:v>Boleto</x:v>
      </x:c>
      <x:c r="K151" s="14" t="str">
        <x:v>Processando</x:v>
      </x:c>
      <x:c r="L151" s="15" t="str">
        <x:f>INDEX(Clientes!$F$2:$F$101,MATCH(C151,Clientes!$A$2:$A$101,0))</x:f>
        <x:v>SP</x:v>
      </x:c>
    </x:row>
    <x:row r="152" ht="20" customHeight="1">
      <x:c r="A152" s="13" t="str">
        <x:v>PED00151</x:v>
      </x:c>
      <x:c r="B152" s="19" t="n">
        <x:v>46147</x:v>
      </x:c>
      <x:c r="C152" s="14" t="str">
        <x:v>CLI0070</x:v>
      </x:c>
      <x:c r="D152" s="14" t="str">
        <x:f>INDEX(Clientes!$B$2:$B$101,MATCH(C152,Clientes!$A$2:$A$101,0))</x:f>
        <x:v>Bruno Rocha Barbosa</x:v>
      </x:c>
      <x:c r="E152" s="14" t="str">
        <x:v>PROD007</x:v>
      </x:c>
      <x:c r="F152" s="14" t="str">
        <x:f>INDEX(Produtos!$B$2:$B$11,MATCH(E152,Produtos!$A$2:$A$11,0))</x:f>
        <x:v>Caneca Cerâmica</x:v>
      </x:c>
      <x:c r="G152" s="18" t="n">
        <x:v>3</x:v>
      </x:c>
      <x:c r="H152" s="17" t="n">
        <x:f>INDEX(Produtos!$D$2:$D$11,MATCH(E152,Produtos!$A$2:$A$11,0))</x:f>
        <x:v>32</x:v>
      </x:c>
      <x:c r="I152" s="17" t="n">
        <x:f>G152*H152</x:f>
        <x:v>96</x:v>
      </x:c>
      <x:c r="J152" s="14" t="str">
        <x:v>Cartão de crédito</x:v>
      </x:c>
      <x:c r="K152" s="14" t="str">
        <x:v>Entregue</x:v>
      </x:c>
      <x:c r="L152" s="15" t="str">
        <x:f>INDEX(Clientes!$F$2:$F$101,MATCH(C152,Clientes!$A$2:$A$101,0))</x:f>
        <x:v>SC</x:v>
      </x:c>
    </x:row>
    <x:row r="153" ht="20" customHeight="1">
      <x:c r="A153" s="13" t="str">
        <x:v>PED00152</x:v>
      </x:c>
      <x:c r="B153" s="19" t="n">
        <x:v>46284</x:v>
      </x:c>
      <x:c r="C153" s="14" t="str">
        <x:v>CLI0100</x:v>
      </x:c>
      <x:c r="D153" s="14" t="str">
        <x:f>INDEX(Clientes!$B$2:$B$101,MATCH(C153,Clientes!$A$2:$A$101,0))</x:f>
        <x:v>Igor Ramos Silva</x:v>
      </x:c>
      <x:c r="E153" s="14" t="str">
        <x:v>PROD003</x:v>
      </x:c>
      <x:c r="F153" s="14" t="str">
        <x:f>INDEX(Produtos!$B$2:$B$11,MATCH(E153,Produtos!$A$2:$A$11,0))</x:f>
        <x:v>Fone Bluetooth</x:v>
      </x:c>
      <x:c r="G153" s="18" t="n">
        <x:v>1</x:v>
      </x:c>
      <x:c r="H153" s="17" t="n">
        <x:f>INDEX(Produtos!$D$2:$D$11,MATCH(E153,Produtos!$A$2:$A$11,0))</x:f>
        <x:v>129.9</x:v>
      </x:c>
      <x:c r="I153" s="17" t="n">
        <x:f>G153*H153</x:f>
        <x:v>129.9</x:v>
      </x:c>
      <x:c r="J153" s="14" t="str">
        <x:v>Boleto</x:v>
      </x:c>
      <x:c r="K153" s="14" t="str">
        <x:v>Processando</x:v>
      </x:c>
      <x:c r="L153" s="15" t="str">
        <x:f>INDEX(Clientes!$F$2:$F$101,MATCH(C153,Clientes!$A$2:$A$101,0))</x:f>
        <x:v>SP</x:v>
      </x:c>
    </x:row>
    <x:row r="154" ht="20" customHeight="1">
      <x:c r="A154" s="13" t="str">
        <x:v>PED00153</x:v>
      </x:c>
      <x:c r="B154" s="19" t="n">
        <x:v>46170</x:v>
      </x:c>
      <x:c r="C154" s="14" t="str">
        <x:v>CLI0006</x:v>
      </x:c>
      <x:c r="D154" s="14" t="str">
        <x:f>INDEX(Clientes!$B$2:$B$101,MATCH(C154,Clientes!$A$2:$A$101,0))</x:f>
        <x:v>Caio Cardoso Batista</x:v>
      </x:c>
      <x:c r="E154" s="14" t="str">
        <x:v>PROD005</x:v>
      </x:c>
      <x:c r="F154" s="14" t="str">
        <x:f>INDEX(Produtos!$B$2:$B$11,MATCH(E154,Produtos!$A$2:$A$11,0))</x:f>
        <x:v>Luminária de Mesa LED</x:v>
      </x:c>
      <x:c r="G154" s="18" t="n">
        <x:v>7</x:v>
      </x:c>
      <x:c r="H154" s="17" t="n">
        <x:f>INDEX(Produtos!$D$2:$D$11,MATCH(E154,Produtos!$A$2:$A$11,0))</x:f>
        <x:v>89.5</x:v>
      </x:c>
      <x:c r="I154" s="17" t="n">
        <x:f>G154*H154</x:f>
        <x:v>626.5</x:v>
      </x:c>
      <x:c r="J154" s="14" t="str">
        <x:v>Cartão de crédito</x:v>
      </x:c>
      <x:c r="K154" s="14" t="str">
        <x:v>Entregue</x:v>
      </x:c>
      <x:c r="L154" s="15" t="str">
        <x:f>INDEX(Clientes!$F$2:$F$101,MATCH(C154,Clientes!$A$2:$A$101,0))</x:f>
        <x:v>SP</x:v>
      </x:c>
    </x:row>
    <x:row r="155" ht="20" customHeight="1">
      <x:c r="A155" s="13" t="str">
        <x:v>PED00154</x:v>
      </x:c>
      <x:c r="B155" s="19" t="n">
        <x:v>46285</x:v>
      </x:c>
      <x:c r="C155" s="14" t="str">
        <x:v>CLI0032</x:v>
      </x:c>
      <x:c r="D155" s="14" t="str">
        <x:f>INDEX(Clientes!$B$2:$B$101,MATCH(C155,Clientes!$A$2:$A$101,0))</x:f>
        <x:v>Leonardo Lima Oliveira</x:v>
      </x:c>
      <x:c r="E155" s="14" t="str">
        <x:v>PROD001</x:v>
      </x:c>
      <x:c r="F155" s="14" t="str">
        <x:f>INDEX(Produtos!$B$2:$B$11,MATCH(E155,Produtos!$A$2:$A$11,0))</x:f>
        <x:v>Caderno Universitário</x:v>
      </x:c>
      <x:c r="G155" s="18" t="n">
        <x:v>5</x:v>
      </x:c>
      <x:c r="H155" s="17" t="n">
        <x:f>INDEX(Produtos!$D$2:$D$11,MATCH(E155,Produtos!$A$2:$A$11,0))</x:f>
        <x:v>24.9</x:v>
      </x:c>
      <x:c r="I155" s="17" t="n">
        <x:f>G155*H155</x:f>
        <x:v>124.5</x:v>
      </x:c>
      <x:c r="J155" s="14" t="str">
        <x:v>Boleto</x:v>
      </x:c>
      <x:c r="K155" s="14" t="str">
        <x:v>Processando</x:v>
      </x:c>
      <x:c r="L155" s="15" t="str">
        <x:f>INDEX(Clientes!$F$2:$F$101,MATCH(C155,Clientes!$A$2:$A$101,0))</x:f>
        <x:v>PR</x:v>
      </x:c>
    </x:row>
    <x:row r="156" ht="20" customHeight="1">
      <x:c r="A156" s="13" t="str">
        <x:v>PED00155</x:v>
      </x:c>
      <x:c r="B156" s="19" t="n">
        <x:v>46110</x:v>
      </x:c>
      <x:c r="C156" s="14" t="str">
        <x:v>CLI0050</x:v>
      </x:c>
      <x:c r="D156" s="14" t="str">
        <x:f>INDEX(Clientes!$B$2:$B$101,MATCH(C156,Clientes!$A$2:$A$101,0))</x:f>
        <x:v>Pedro Ramos Dias</x:v>
      </x:c>
      <x:c r="E156" s="14" t="str">
        <x:v>PROD009</x:v>
      </x:c>
      <x:c r="F156" s="14" t="str">
        <x:f>INDEX(Produtos!$B$2:$B$11,MATCH(E156,Produtos!$A$2:$A$11,0))</x:f>
        <x:v>Carregador USB-C</x:v>
      </x:c>
      <x:c r="G156" s="18" t="n">
        <x:v>3</x:v>
      </x:c>
      <x:c r="H156" s="17" t="n">
        <x:f>INDEX(Produtos!$D$2:$D$11,MATCH(E156,Produtos!$A$2:$A$11,0))</x:f>
        <x:v>59.9</x:v>
      </x:c>
      <x:c r="I156" s="17" t="n">
        <x:f>G156*H156</x:f>
        <x:v>179.7</x:v>
      </x:c>
      <x:c r="J156" s="14" t="str">
        <x:v>Cartão de crédito</x:v>
      </x:c>
      <x:c r="K156" s="14" t="str">
        <x:v>Entregue</x:v>
      </x:c>
      <x:c r="L156" s="15" t="str">
        <x:f>INDEX(Clientes!$F$2:$F$101,MATCH(C156,Clientes!$A$2:$A$101,0))</x:f>
        <x:v>SC</x:v>
      </x:c>
    </x:row>
    <x:row r="157" ht="20" customHeight="1">
      <x:c r="A157" s="13" t="str">
        <x:v>PED00156</x:v>
      </x:c>
      <x:c r="B157" s="19" t="n">
        <x:v>46069</x:v>
      </x:c>
      <x:c r="C157" s="14" t="str">
        <x:v>CLI0008</x:v>
      </x:c>
      <x:c r="D157" s="14" t="str">
        <x:f>INDEX(Clientes!$B$2:$B$101,MATCH(C157,Clientes!$A$2:$A$101,0))</x:f>
        <x:v>Enzo Esteves Junqueira</x:v>
      </x:c>
      <x:c r="E157" s="14" t="str">
        <x:v>PROD007</x:v>
      </x:c>
      <x:c r="F157" s="14" t="str">
        <x:f>INDEX(Produtos!$B$2:$B$11,MATCH(E157,Produtos!$A$2:$A$11,0))</x:f>
        <x:v>Caneca Cerâmica</x:v>
      </x:c>
      <x:c r="G157" s="18" t="n">
        <x:v>1</x:v>
      </x:c>
      <x:c r="H157" s="17" t="n">
        <x:f>INDEX(Produtos!$D$2:$D$11,MATCH(E157,Produtos!$A$2:$A$11,0))</x:f>
        <x:v>32</x:v>
      </x:c>
      <x:c r="I157" s="17" t="n">
        <x:f>G157*H157</x:f>
        <x:v>32</x:v>
      </x:c>
      <x:c r="J157" s="14" t="str">
        <x:v>Boleto</x:v>
      </x:c>
      <x:c r="K157" s="14" t="str">
        <x:v>Processando</x:v>
      </x:c>
      <x:c r="L157" s="15" t="str">
        <x:f>INDEX(Clientes!$F$2:$F$101,MATCH(C157,Clientes!$A$2:$A$101,0))</x:f>
        <x:v>PR</x:v>
      </x:c>
    </x:row>
    <x:row r="158" ht="20" customHeight="1">
      <x:c r="A158" s="13" t="str">
        <x:v>PED00157</x:v>
      </x:c>
      <x:c r="B158" s="19" t="n">
        <x:v>46273</x:v>
      </x:c>
      <x:c r="C158" s="14" t="str">
        <x:v>CLI0022</x:v>
      </x:c>
      <x:c r="D158" s="14" t="str">
        <x:f>INDEX(Clientes!$B$2:$B$101,MATCH(C158,Clientes!$A$2:$A$101,0))</x:f>
        <x:v>Bruno Teixeira Souza</x:v>
      </x:c>
      <x:c r="E158" s="14" t="str">
        <x:v>PROD001</x:v>
      </x:c>
      <x:c r="F158" s="14" t="str">
        <x:f>INDEX(Produtos!$B$2:$B$11,MATCH(E158,Produtos!$A$2:$A$11,0))</x:f>
        <x:v>Caderno Universitário</x:v>
      </x:c>
      <x:c r="G158" s="18" t="n">
        <x:v>7</x:v>
      </x:c>
      <x:c r="H158" s="17" t="n">
        <x:f>INDEX(Produtos!$D$2:$D$11,MATCH(E158,Produtos!$A$2:$A$11,0))</x:f>
        <x:v>24.9</x:v>
      </x:c>
      <x:c r="I158" s="17" t="n">
        <x:f>G158*H158</x:f>
        <x:v>174.29999999999998</x:v>
      </x:c>
      <x:c r="J158" s="14" t="str">
        <x:v>Cartão de crédito</x:v>
      </x:c>
      <x:c r="K158" s="14" t="str">
        <x:v>Entregue</x:v>
      </x:c>
      <x:c r="L158" s="15" t="str">
        <x:f>INDEX(Clientes!$F$2:$F$101,MATCH(C158,Clientes!$A$2:$A$101,0))</x:f>
        <x:v>SC</x:v>
      </x:c>
    </x:row>
    <x:row r="159" ht="20" customHeight="1">
      <x:c r="A159" s="13" t="str">
        <x:v>PED00158</x:v>
      </x:c>
      <x:c r="B159" s="19" t="n">
        <x:v>46153</x:v>
      </x:c>
      <x:c r="C159" s="14" t="str">
        <x:v>CLI0084</x:v>
      </x:c>
      <x:c r="D159" s="14" t="str">
        <x:f>INDEX(Clientes!$B$2:$B$101,MATCH(C159,Clientes!$A$2:$A$101,0))</x:f>
        <x:v>Lucas Ibrahim Garcia</x:v>
      </x:c>
      <x:c r="E159" s="14" t="str">
        <x:v>PROD009</x:v>
      </x:c>
      <x:c r="F159" s="14" t="str">
        <x:f>INDEX(Produtos!$B$2:$B$11,MATCH(E159,Produtos!$A$2:$A$11,0))</x:f>
        <x:v>Carregador USB-C</x:v>
      </x:c>
      <x:c r="G159" s="18" t="n">
        <x:v>5</x:v>
      </x:c>
      <x:c r="H159" s="17" t="n">
        <x:f>INDEX(Produtos!$D$2:$D$11,MATCH(E159,Produtos!$A$2:$A$11,0))</x:f>
        <x:v>59.9</x:v>
      </x:c>
      <x:c r="I159" s="17" t="n">
        <x:f>G159*H159</x:f>
        <x:v>299.5</x:v>
      </x:c>
      <x:c r="J159" s="14" t="str">
        <x:v>Boleto</x:v>
      </x:c>
      <x:c r="K159" s="14" t="str">
        <x:v>Processando</x:v>
      </x:c>
      <x:c r="L159" s="15" t="str">
        <x:f>INDEX(Clientes!$F$2:$F$101,MATCH(C159,Clientes!$A$2:$A$101,0))</x:f>
        <x:v>PR</x:v>
      </x:c>
    </x:row>
    <x:row r="160" ht="20" customHeight="1">
      <x:c r="A160" s="13" t="str">
        <x:v>PED00159</x:v>
      </x:c>
      <x:c r="B160" s="19" t="n">
        <x:v>46037</x:v>
      </x:c>
      <x:c r="C160" s="14" t="str">
        <x:v>CLI0002</x:v>
      </x:c>
      <x:c r="D160" s="14" t="str">
        <x:f>INDEX(Clientes!$B$2:$B$101,MATCH(C160,Clientes!$A$2:$A$101,0))</x:f>
        <x:v>Enzo Cardoso Mendes</x:v>
      </x:c>
      <x:c r="E160" s="14" t="str">
        <x:v>PROD007</x:v>
      </x:c>
      <x:c r="F160" s="14" t="str">
        <x:f>INDEX(Produtos!$B$2:$B$11,MATCH(E160,Produtos!$A$2:$A$11,0))</x:f>
        <x:v>Caneca Cerâmica</x:v>
      </x:c>
      <x:c r="G160" s="18" t="n">
        <x:v>3</x:v>
      </x:c>
      <x:c r="H160" s="17" t="n">
        <x:f>INDEX(Produtos!$D$2:$D$11,MATCH(E160,Produtos!$A$2:$A$11,0))</x:f>
        <x:v>32</x:v>
      </x:c>
      <x:c r="I160" s="17" t="n">
        <x:f>G160*H160</x:f>
        <x:v>96</x:v>
      </x:c>
      <x:c r="J160" s="14" t="str">
        <x:v>Cartão de crédito</x:v>
      </x:c>
      <x:c r="K160" s="14" t="str">
        <x:v>Entregue</x:v>
      </x:c>
      <x:c r="L160" s="15" t="str">
        <x:f>INDEX(Clientes!$F$2:$F$101,MATCH(C160,Clientes!$A$2:$A$101,0))</x:f>
        <x:v>PR</x:v>
      </x:c>
    </x:row>
    <x:row r="161" ht="20" customHeight="1">
      <x:c r="A161" s="13" t="str">
        <x:v>PED00160</x:v>
      </x:c>
      <x:c r="B161" s="19" t="n">
        <x:v>46235</x:v>
      </x:c>
      <x:c r="C161" s="14" t="str">
        <x:v>CLI0084</x:v>
      </x:c>
      <x:c r="D161" s="14" t="str">
        <x:f>INDEX(Clientes!$B$2:$B$101,MATCH(C161,Clientes!$A$2:$A$101,0))</x:f>
        <x:v>Lucas Ibrahim Garcia</x:v>
      </x:c>
      <x:c r="E161" s="14" t="str">
        <x:v>PROD007</x:v>
      </x:c>
      <x:c r="F161" s="14" t="str">
        <x:f>INDEX(Produtos!$B$2:$B$11,MATCH(E161,Produtos!$A$2:$A$11,0))</x:f>
        <x:v>Caneca Cerâmica</x:v>
      </x:c>
      <x:c r="G161" s="18" t="n">
        <x:v>1</x:v>
      </x:c>
      <x:c r="H161" s="17" t="n">
        <x:f>INDEX(Produtos!$D$2:$D$11,MATCH(E161,Produtos!$A$2:$A$11,0))</x:f>
        <x:v>32</x:v>
      </x:c>
      <x:c r="I161" s="17" t="n">
        <x:f>G161*H161</x:f>
        <x:v>32</x:v>
      </x:c>
      <x:c r="J161" s="14" t="str">
        <x:v>Boleto</x:v>
      </x:c>
      <x:c r="K161" s="14" t="str">
        <x:v>Processando</x:v>
      </x:c>
      <x:c r="L161" s="15" t="str">
        <x:f>INDEX(Clientes!$F$2:$F$101,MATCH(C161,Clientes!$A$2:$A$101,0))</x:f>
        <x:v>PR</x:v>
      </x:c>
    </x:row>
    <x:row r="162" ht="20" customHeight="1">
      <x:c r="A162" s="13" t="str">
        <x:v>PED00161</x:v>
      </x:c>
      <x:c r="B162" s="19" t="n">
        <x:v>46280</x:v>
      </x:c>
      <x:c r="C162" s="14" t="str">
        <x:v>CLI0042</x:v>
      </x:c>
      <x:c r="D162" s="14" t="str">
        <x:f>INDEX(Clientes!$B$2:$B$101,MATCH(C162,Clientes!$A$2:$A$101,0))</x:f>
        <x:v>João Rocha Batista</x:v>
      </x:c>
      <x:c r="E162" s="14" t="str">
        <x:v>PROD009</x:v>
      </x:c>
      <x:c r="F162" s="14" t="str">
        <x:f>INDEX(Produtos!$B$2:$B$11,MATCH(E162,Produtos!$A$2:$A$11,0))</x:f>
        <x:v>Carregador USB-C</x:v>
      </x:c>
      <x:c r="G162" s="18" t="n">
        <x:v>7</x:v>
      </x:c>
      <x:c r="H162" s="17" t="n">
        <x:f>INDEX(Produtos!$D$2:$D$11,MATCH(E162,Produtos!$A$2:$A$11,0))</x:f>
        <x:v>59.9</x:v>
      </x:c>
      <x:c r="I162" s="17" t="n">
        <x:f>G162*H162</x:f>
        <x:v>419.3</x:v>
      </x:c>
      <x:c r="J162" s="14" t="str">
        <x:v>Cartão de crédito</x:v>
      </x:c>
      <x:c r="K162" s="14" t="str">
        <x:v>Entregue</x:v>
      </x:c>
      <x:c r="L162" s="15" t="str">
        <x:f>INDEX(Clientes!$F$2:$F$101,MATCH(C162,Clientes!$A$2:$A$101,0))</x:f>
        <x:v>PR</x:v>
      </x:c>
    </x:row>
    <x:row r="163" ht="20" customHeight="1">
      <x:c r="A163" s="13" t="str">
        <x:v>PED00162</x:v>
      </x:c>
      <x:c r="B163" s="19" t="n">
        <x:v>46218</x:v>
      </x:c>
      <x:c r="C163" s="14" t="str">
        <x:v>CLI0044</x:v>
      </x:c>
      <x:c r="D163" s="14" t="str">
        <x:f>INDEX(Clientes!$B$2:$B$101,MATCH(C163,Clientes!$A$2:$A$101,0))</x:f>
        <x:v>Igor Rocha Garcia</x:v>
      </x:c>
      <x:c r="E163" s="14" t="str">
        <x:v>PROD001</x:v>
      </x:c>
      <x:c r="F163" s="14" t="str">
        <x:f>INDEX(Produtos!$B$2:$B$11,MATCH(E163,Produtos!$A$2:$A$11,0))</x:f>
        <x:v>Caderno Universitário</x:v>
      </x:c>
      <x:c r="G163" s="18" t="n">
        <x:v>5</x:v>
      </x:c>
      <x:c r="H163" s="17" t="n">
        <x:f>INDEX(Produtos!$D$2:$D$11,MATCH(E163,Produtos!$A$2:$A$11,0))</x:f>
        <x:v>24.9</x:v>
      </x:c>
      <x:c r="I163" s="17" t="n">
        <x:f>G163*H163</x:f>
        <x:v>124.5</x:v>
      </x:c>
      <x:c r="J163" s="14" t="str">
        <x:v>Boleto</x:v>
      </x:c>
      <x:c r="K163" s="14" t="str">
        <x:v>Processando</x:v>
      </x:c>
      <x:c r="L163" s="15" t="str">
        <x:f>INDEX(Clientes!$F$2:$F$101,MATCH(C163,Clientes!$A$2:$A$101,0))</x:f>
        <x:v>SC</x:v>
      </x:c>
    </x:row>
    <x:row r="164" ht="20" customHeight="1">
      <x:c r="A164" s="13" t="str">
        <x:v>PED00163</x:v>
      </x:c>
      <x:c r="B164" s="19" t="n">
        <x:v>46176</x:v>
      </x:c>
      <x:c r="C164" s="14" t="str">
        <x:v>CLI0014</x:v>
      </x:c>
      <x:c r="D164" s="14" t="str">
        <x:f>INDEX(Clientes!$B$2:$B$101,MATCH(C164,Clientes!$A$2:$A$101,0))</x:f>
        <x:v>Enzo Andrade Duarte</x:v>
      </x:c>
      <x:c r="E164" s="14" t="str">
        <x:v>PROD009</x:v>
      </x:c>
      <x:c r="F164" s="14" t="str">
        <x:f>INDEX(Produtos!$B$2:$B$11,MATCH(E164,Produtos!$A$2:$A$11,0))</x:f>
        <x:v>Carregador USB-C</x:v>
      </x:c>
      <x:c r="G164" s="18" t="n">
        <x:v>3</x:v>
      </x:c>
      <x:c r="H164" s="17" t="n">
        <x:f>INDEX(Produtos!$D$2:$D$11,MATCH(E164,Produtos!$A$2:$A$11,0))</x:f>
        <x:v>59.9</x:v>
      </x:c>
      <x:c r="I164" s="17" t="n">
        <x:f>G164*H164</x:f>
        <x:v>179.7</x:v>
      </x:c>
      <x:c r="J164" s="14" t="str">
        <x:v>Cartão de crédito</x:v>
      </x:c>
      <x:c r="K164" s="14" t="str">
        <x:v>Entregue</x:v>
      </x:c>
      <x:c r="L164" s="15" t="str">
        <x:f>INDEX(Clientes!$F$2:$F$101,MATCH(C164,Clientes!$A$2:$A$101,0))</x:f>
        <x:v>PR</x:v>
      </x:c>
    </x:row>
    <x:row r="165" ht="20" customHeight="1">
      <x:c r="A165" s="13" t="str">
        <x:v>PED00164</x:v>
      </x:c>
      <x:c r="B165" s="19" t="n">
        <x:v>46082</x:v>
      </x:c>
      <x:c r="C165" s="14" t="str">
        <x:v>CLI0096</x:v>
      </x:c>
      <x:c r="D165" s="14" t="str">
        <x:f>INDEX(Clientes!$B$2:$B$101,MATCH(C165,Clientes!$A$2:$A$101,0))</x:f>
        <x:v>Bruno Farias Henrique</x:v>
      </x:c>
      <x:c r="E165" s="14" t="str">
        <x:v>PROD007</x:v>
      </x:c>
      <x:c r="F165" s="14" t="str">
        <x:f>INDEX(Produtos!$B$2:$B$11,MATCH(E165,Produtos!$A$2:$A$11,0))</x:f>
        <x:v>Caneca Cerâmica</x:v>
      </x:c>
      <x:c r="G165" s="18" t="n">
        <x:v>1</x:v>
      </x:c>
      <x:c r="H165" s="17" t="n">
        <x:f>INDEX(Produtos!$D$2:$D$11,MATCH(E165,Produtos!$A$2:$A$11,0))</x:f>
        <x:v>32</x:v>
      </x:c>
      <x:c r="I165" s="17" t="n">
        <x:f>G165*H165</x:f>
        <x:v>32</x:v>
      </x:c>
      <x:c r="J165" s="14" t="str">
        <x:v>Boleto</x:v>
      </x:c>
      <x:c r="K165" s="14" t="str">
        <x:v>Processando</x:v>
      </x:c>
      <x:c r="L165" s="15" t="str">
        <x:f>INDEX(Clientes!$F$2:$F$101,MATCH(C165,Clientes!$A$2:$A$101,0))</x:f>
        <x:v>MG</x:v>
      </x:c>
    </x:row>
    <x:row r="166" ht="20" customHeight="1">
      <x:c r="A166" s="13" t="str">
        <x:v>PED00165</x:v>
      </x:c>
      <x:c r="B166" s="19" t="n">
        <x:v>46092</x:v>
      </x:c>
      <x:c r="C166" s="14" t="str">
        <x:v>CLI0006</x:v>
      </x:c>
      <x:c r="D166" s="14" t="str">
        <x:f>INDEX(Clientes!$B$2:$B$101,MATCH(C166,Clientes!$A$2:$A$101,0))</x:f>
        <x:v>Caio Cardoso Batista</x:v>
      </x:c>
      <x:c r="E166" s="14" t="str">
        <x:v>PROD003</x:v>
      </x:c>
      <x:c r="F166" s="14" t="str">
        <x:f>INDEX(Produtos!$B$2:$B$11,MATCH(E166,Produtos!$A$2:$A$11,0))</x:f>
        <x:v>Fone Bluetooth</x:v>
      </x:c>
      <x:c r="G166" s="18" t="n">
        <x:v>7</x:v>
      </x:c>
      <x:c r="H166" s="17" t="n">
        <x:f>INDEX(Produtos!$D$2:$D$11,MATCH(E166,Produtos!$A$2:$A$11,0))</x:f>
        <x:v>129.9</x:v>
      </x:c>
      <x:c r="I166" s="17" t="n">
        <x:f>G166*H166</x:f>
        <x:v>909.3000000000001</x:v>
      </x:c>
      <x:c r="J166" s="14" t="str">
        <x:v>Cartão de crédito</x:v>
      </x:c>
      <x:c r="K166" s="14" t="str">
        <x:v>Entregue</x:v>
      </x:c>
      <x:c r="L166" s="15" t="str">
        <x:f>INDEX(Clientes!$F$2:$F$101,MATCH(C166,Clientes!$A$2:$A$101,0))</x:f>
        <x:v>SP</x:v>
      </x:c>
    </x:row>
    <x:row r="167" ht="20" customHeight="1">
      <x:c r="A167" s="13" t="str">
        <x:v>PED00166</x:v>
      </x:c>
      <x:c r="B167" s="19" t="n">
        <x:v>46262</x:v>
      </x:c>
      <x:c r="C167" s="14" t="str">
        <x:v>CLI0080</x:v>
      </x:c>
      <x:c r="D167" s="14" t="str">
        <x:f>INDEX(Clientes!$B$2:$B$101,MATCH(C167,Clientes!$A$2:$A$101,0))</x:f>
        <x:v>Caio Nascimento Vargas</x:v>
      </x:c>
      <x:c r="E167" s="14" t="str">
        <x:v>PROD005</x:v>
      </x:c>
      <x:c r="F167" s="14" t="str">
        <x:f>INDEX(Produtos!$B$2:$B$11,MATCH(E167,Produtos!$A$2:$A$11,0))</x:f>
        <x:v>Luminária de Mesa LED</x:v>
      </x:c>
      <x:c r="G167" s="18" t="n">
        <x:v>5</x:v>
      </x:c>
      <x:c r="H167" s="17" t="n">
        <x:f>INDEX(Produtos!$D$2:$D$11,MATCH(E167,Produtos!$A$2:$A$11,0))</x:f>
        <x:v>89.5</x:v>
      </x:c>
      <x:c r="I167" s="17" t="n">
        <x:f>G167*H167</x:f>
        <x:v>447.5</x:v>
      </x:c>
      <x:c r="J167" s="14" t="str">
        <x:v>Boleto</x:v>
      </x:c>
      <x:c r="K167" s="14" t="str">
        <x:v>Processando</x:v>
      </x:c>
      <x:c r="L167" s="15" t="str">
        <x:f>INDEX(Clientes!$F$2:$F$101,MATCH(C167,Clientes!$A$2:$A$101,0))</x:f>
        <x:v>SC</x:v>
      </x:c>
    </x:row>
    <x:row r="168" ht="20" customHeight="1">
      <x:c r="A168" s="13" t="str">
        <x:v>PED00167</x:v>
      </x:c>
      <x:c r="B168" s="19" t="n">
        <x:v>46238</x:v>
      </x:c>
      <x:c r="C168" s="14" t="str">
        <x:v>CLI0010</x:v>
      </x:c>
      <x:c r="D168" s="14" t="str">
        <x:f>INDEX(Clientes!$B$2:$B$101,MATCH(C168,Clientes!$A$2:$A$101,0))</x:f>
        <x:v>Samuel Almeida Henrique</x:v>
      </x:c>
      <x:c r="E168" s="14" t="str">
        <x:v>PROD001</x:v>
      </x:c>
      <x:c r="F168" s="14" t="str">
        <x:f>INDEX(Produtos!$B$2:$B$11,MATCH(E168,Produtos!$A$2:$A$11,0))</x:f>
        <x:v>Caderno Universitário</x:v>
      </x:c>
      <x:c r="G168" s="18" t="n">
        <x:v>3</x:v>
      </x:c>
      <x:c r="H168" s="17" t="n">
        <x:f>INDEX(Produtos!$D$2:$D$11,MATCH(E168,Produtos!$A$2:$A$11,0))</x:f>
        <x:v>24.9</x:v>
      </x:c>
      <x:c r="I168" s="17" t="n">
        <x:f>G168*H168</x:f>
        <x:v>74.69999999999999</x:v>
      </x:c>
      <x:c r="J168" s="14" t="str">
        <x:v>Cartão de crédito</x:v>
      </x:c>
      <x:c r="K168" s="14" t="str">
        <x:v>Entregue</x:v>
      </x:c>
      <x:c r="L168" s="15" t="str">
        <x:f>INDEX(Clientes!$F$2:$F$101,MATCH(C168,Clientes!$A$2:$A$101,0))</x:f>
        <x:v>PR</x:v>
      </x:c>
    </x:row>
    <x:row r="169" ht="20" customHeight="1">
      <x:c r="A169" s="13" t="str">
        <x:v>PED00168</x:v>
      </x:c>
      <x:c r="B169" s="19" t="n">
        <x:v>46105</x:v>
      </x:c>
      <x:c r="C169" s="14" t="str">
        <x:v>CLI0084</x:v>
      </x:c>
      <x:c r="D169" s="14" t="str">
        <x:f>INDEX(Clientes!$B$2:$B$101,MATCH(C169,Clientes!$A$2:$A$101,0))</x:f>
        <x:v>Lucas Ibrahim Garcia</x:v>
      </x:c>
      <x:c r="E169" s="14" t="str">
        <x:v>PROD007</x:v>
      </x:c>
      <x:c r="F169" s="14" t="str">
        <x:f>INDEX(Produtos!$B$2:$B$11,MATCH(E169,Produtos!$A$2:$A$11,0))</x:f>
        <x:v>Caneca Cerâmica</x:v>
      </x:c>
      <x:c r="G169" s="18" t="n">
        <x:v>1</x:v>
      </x:c>
      <x:c r="H169" s="17" t="n">
        <x:f>INDEX(Produtos!$D$2:$D$11,MATCH(E169,Produtos!$A$2:$A$11,0))</x:f>
        <x:v>32</x:v>
      </x:c>
      <x:c r="I169" s="17" t="n">
        <x:f>G169*H169</x:f>
        <x:v>32</x:v>
      </x:c>
      <x:c r="J169" s="14" t="str">
        <x:v>Boleto</x:v>
      </x:c>
      <x:c r="K169" s="14" t="str">
        <x:v>Processando</x:v>
      </x:c>
      <x:c r="L169" s="15" t="str">
        <x:f>INDEX(Clientes!$F$2:$F$101,MATCH(C169,Clientes!$A$2:$A$101,0))</x:f>
        <x:v>PR</x:v>
      </x:c>
    </x:row>
    <x:row r="170" ht="20" customHeight="1">
      <x:c r="A170" s="13" t="str">
        <x:v>PED00169</x:v>
      </x:c>
      <x:c r="B170" s="19" t="n">
        <x:v>46191</x:v>
      </x:c>
      <x:c r="C170" s="14" t="str">
        <x:v>CLI0074</x:v>
      </x:c>
      <x:c r="D170" s="14" t="str">
        <x:f>INDEX(Clientes!$B$2:$B$101,MATCH(C170,Clientes!$A$2:$A$101,0))</x:f>
        <x:v>Pedro Costa Mendes</x:v>
      </x:c>
      <x:c r="E170" s="14" t="str">
        <x:v>PROD009</x:v>
      </x:c>
      <x:c r="F170" s="14" t="str">
        <x:f>INDEX(Produtos!$B$2:$B$11,MATCH(E170,Produtos!$A$2:$A$11,0))</x:f>
        <x:v>Carregador USB-C</x:v>
      </x:c>
      <x:c r="G170" s="18" t="n">
        <x:v>7</x:v>
      </x:c>
      <x:c r="H170" s="17" t="n">
        <x:f>INDEX(Produtos!$D$2:$D$11,MATCH(E170,Produtos!$A$2:$A$11,0))</x:f>
        <x:v>59.9</x:v>
      </x:c>
      <x:c r="I170" s="17" t="n">
        <x:f>G170*H170</x:f>
        <x:v>419.3</x:v>
      </x:c>
      <x:c r="J170" s="14" t="str">
        <x:v>Cartão de crédito</x:v>
      </x:c>
      <x:c r="K170" s="14" t="str">
        <x:v>Entregue</x:v>
      </x:c>
      <x:c r="L170" s="15" t="str">
        <x:f>INDEX(Clientes!$F$2:$F$101,MATCH(C170,Clientes!$A$2:$A$101,0))</x:f>
        <x:v>MG</x:v>
      </x:c>
    </x:row>
    <x:row r="171" ht="20" customHeight="1">
      <x:c r="A171" s="13" t="str">
        <x:v>PED00170</x:v>
      </x:c>
      <x:c r="B171" s="19" t="n">
        <x:v>46064</x:v>
      </x:c>
      <x:c r="C171" s="14" t="str">
        <x:v>CLI0024</x:v>
      </x:c>
      <x:c r="D171" s="14" t="str">
        <x:f>INDEX(Clientes!$B$2:$B$101,MATCH(C171,Clientes!$A$2:$A$101,0))</x:f>
        <x:v>João Cardoso Duarte</x:v>
      </x:c>
      <x:c r="E171" s="14" t="str">
        <x:v>PROD009</x:v>
      </x:c>
      <x:c r="F171" s="14" t="str">
        <x:f>INDEX(Produtos!$B$2:$B$11,MATCH(E171,Produtos!$A$2:$A$11,0))</x:f>
        <x:v>Carregador USB-C</x:v>
      </x:c>
      <x:c r="G171" s="18" t="n">
        <x:v>5</x:v>
      </x:c>
      <x:c r="H171" s="17" t="n">
        <x:f>INDEX(Produtos!$D$2:$D$11,MATCH(E171,Produtos!$A$2:$A$11,0))</x:f>
        <x:v>59.9</x:v>
      </x:c>
      <x:c r="I171" s="17" t="n">
        <x:f>G171*H171</x:f>
        <x:v>299.5</x:v>
      </x:c>
      <x:c r="J171" s="14" t="str">
        <x:v>Boleto</x:v>
      </x:c>
      <x:c r="K171" s="14" t="str">
        <x:v>Processando</x:v>
      </x:c>
      <x:c r="L171" s="15" t="str">
        <x:f>INDEX(Clientes!$F$2:$F$101,MATCH(C171,Clientes!$A$2:$A$101,0))</x:f>
        <x:v>SP</x:v>
      </x:c>
    </x:row>
    <x:row r="172" ht="20" customHeight="1">
      <x:c r="A172" s="13" t="str">
        <x:v>PED00171</x:v>
      </x:c>
      <x:c r="B172" s="19" t="n">
        <x:v>46078</x:v>
      </x:c>
      <x:c r="C172" s="14" t="str">
        <x:v>CLI0030</x:v>
      </x:c>
      <x:c r="D172" s="14" t="str">
        <x:f>INDEX(Clientes!$B$2:$B$101,MATCH(C172,Clientes!$A$2:$A$101,0))</x:f>
        <x:v>Henrique Gomes Batista</x:v>
      </x:c>
      <x:c r="E172" s="14" t="str">
        <x:v>PROD001</x:v>
      </x:c>
      <x:c r="F172" s="14" t="str">
        <x:f>INDEX(Produtos!$B$2:$B$11,MATCH(E172,Produtos!$A$2:$A$11,0))</x:f>
        <x:v>Caderno Universitário</x:v>
      </x:c>
      <x:c r="G172" s="18" t="n">
        <x:v>3</x:v>
      </x:c>
      <x:c r="H172" s="17" t="n">
        <x:f>INDEX(Produtos!$D$2:$D$11,MATCH(E172,Produtos!$A$2:$A$11,0))</x:f>
        <x:v>24.9</x:v>
      </x:c>
      <x:c r="I172" s="17" t="n">
        <x:f>G172*H172</x:f>
        <x:v>74.69999999999999</x:v>
      </x:c>
      <x:c r="J172" s="14" t="str">
        <x:v>Cartão de crédito</x:v>
      </x:c>
      <x:c r="K172" s="14" t="str">
        <x:v>Entregue</x:v>
      </x:c>
      <x:c r="L172" s="15" t="str">
        <x:f>INDEX(Clientes!$F$2:$F$101,MATCH(C172,Clientes!$A$2:$A$101,0))</x:f>
        <x:v>SP</x:v>
      </x:c>
    </x:row>
    <x:row r="173" ht="20" customHeight="1">
      <x:c r="A173" s="13" t="str">
        <x:v>PED00172</x:v>
      </x:c>
      <x:c r="B173" s="19" t="n">
        <x:v>46076</x:v>
      </x:c>
      <x:c r="C173" s="14" t="str">
        <x:v>CLI0076</x:v>
      </x:c>
      <x:c r="D173" s="14" t="str">
        <x:f>INDEX(Clientes!$B$2:$B$101,MATCH(C173,Clientes!$A$2:$A$101,0))</x:f>
        <x:v>Vinícius Farias Machado</x:v>
      </x:c>
      <x:c r="E173" s="14" t="str">
        <x:v>PROD001</x:v>
      </x:c>
      <x:c r="F173" s="14" t="str">
        <x:f>INDEX(Produtos!$B$2:$B$11,MATCH(E173,Produtos!$A$2:$A$11,0))</x:f>
        <x:v>Caderno Universitário</x:v>
      </x:c>
      <x:c r="G173" s="18" t="n">
        <x:v>1</x:v>
      </x:c>
      <x:c r="H173" s="17" t="n">
        <x:f>INDEX(Produtos!$D$2:$D$11,MATCH(E173,Produtos!$A$2:$A$11,0))</x:f>
        <x:v>24.9</x:v>
      </x:c>
      <x:c r="I173" s="17" t="n">
        <x:f>G173*H173</x:f>
        <x:v>24.9</x:v>
      </x:c>
      <x:c r="J173" s="14" t="str">
        <x:v>Boleto</x:v>
      </x:c>
      <x:c r="K173" s="14" t="str">
        <x:v>Processando</x:v>
      </x:c>
      <x:c r="L173" s="15" t="str">
        <x:f>INDEX(Clientes!$F$2:$F$101,MATCH(C173,Clientes!$A$2:$A$101,0))</x:f>
        <x:v>BA</x:v>
      </x:c>
    </x:row>
    <x:row r="174" ht="20" customHeight="1">
      <x:c r="A174" s="13" t="str">
        <x:v>PED00173</x:v>
      </x:c>
      <x:c r="B174" s="19" t="n">
        <x:v>46290</x:v>
      </x:c>
      <x:c r="C174" s="14" t="str">
        <x:v>CLI0090</x:v>
      </x:c>
      <x:c r="D174" s="14" t="str">
        <x:f>INDEX(Clientes!$B$2:$B$101,MATCH(C174,Clientes!$A$2:$A$101,0))</x:f>
        <x:v>Bruno Pereira Silva</x:v>
      </x:c>
      <x:c r="E174" s="14" t="str">
        <x:v>PROD003</x:v>
      </x:c>
      <x:c r="F174" s="14" t="str">
        <x:f>INDEX(Produtos!$B$2:$B$11,MATCH(E174,Produtos!$A$2:$A$11,0))</x:f>
        <x:v>Fone Bluetooth</x:v>
      </x:c>
      <x:c r="G174" s="18" t="n">
        <x:v>7</x:v>
      </x:c>
      <x:c r="H174" s="17" t="n">
        <x:f>INDEX(Produtos!$D$2:$D$11,MATCH(E174,Produtos!$A$2:$A$11,0))</x:f>
        <x:v>129.9</x:v>
      </x:c>
      <x:c r="I174" s="17" t="n">
        <x:f>G174*H174</x:f>
        <x:v>909.3000000000001</x:v>
      </x:c>
      <x:c r="J174" s="14" t="str">
        <x:v>Cartão de crédito</x:v>
      </x:c>
      <x:c r="K174" s="14" t="str">
        <x:v>Entregue</x:v>
      </x:c>
      <x:c r="L174" s="15" t="str">
        <x:f>INDEX(Clientes!$F$2:$F$101,MATCH(C174,Clientes!$A$2:$A$101,0))</x:f>
        <x:v>BA</x:v>
      </x:c>
    </x:row>
    <x:row r="175" ht="20" customHeight="1">
      <x:c r="A175" s="13" t="str">
        <x:v>PED00174</x:v>
      </x:c>
      <x:c r="B175" s="19" t="n">
        <x:v>46233</x:v>
      </x:c>
      <x:c r="C175" s="14" t="str">
        <x:v>CLI0004</x:v>
      </x:c>
      <x:c r="D175" s="14" t="str">
        <x:f>INDEX(Clientes!$B$2:$B$101,MATCH(C175,Clientes!$A$2:$A$101,0))</x:f>
        <x:v>Enzo Ibrahim Queiroz</x:v>
      </x:c>
      <x:c r="E175" s="14" t="str">
        <x:v>PROD005</x:v>
      </x:c>
      <x:c r="F175" s="14" t="str">
        <x:f>INDEX(Produtos!$B$2:$B$11,MATCH(E175,Produtos!$A$2:$A$11,0))</x:f>
        <x:v>Luminária de Mesa LED</x:v>
      </x:c>
      <x:c r="G175" s="18" t="n">
        <x:v>5</x:v>
      </x:c>
      <x:c r="H175" s="17" t="n">
        <x:f>INDEX(Produtos!$D$2:$D$11,MATCH(E175,Produtos!$A$2:$A$11,0))</x:f>
        <x:v>89.5</x:v>
      </x:c>
      <x:c r="I175" s="17" t="n">
        <x:f>G175*H175</x:f>
        <x:v>447.5</x:v>
      </x:c>
      <x:c r="J175" s="14" t="str">
        <x:v>Boleto</x:v>
      </x:c>
      <x:c r="K175" s="14" t="str">
        <x:v>Processando</x:v>
      </x:c>
      <x:c r="L175" s="15" t="str">
        <x:f>INDEX(Clientes!$F$2:$F$101,MATCH(C175,Clientes!$A$2:$A$101,0))</x:f>
        <x:v>SP</x:v>
      </x:c>
    </x:row>
    <x:row r="176" ht="20" customHeight="1">
      <x:c r="A176" s="13" t="str">
        <x:v>PED00175</x:v>
      </x:c>
      <x:c r="B176" s="19" t="n">
        <x:v>46076</x:v>
      </x:c>
      <x:c r="C176" s="14" t="str">
        <x:v>CLI0002</x:v>
      </x:c>
      <x:c r="D176" s="14" t="str">
        <x:f>INDEX(Clientes!$B$2:$B$101,MATCH(C176,Clientes!$A$2:$A$101,0))</x:f>
        <x:v>Enzo Cardoso Mendes</x:v>
      </x:c>
      <x:c r="E176" s="14" t="str">
        <x:v>PROD009</x:v>
      </x:c>
      <x:c r="F176" s="14" t="str">
        <x:f>INDEX(Produtos!$B$2:$B$11,MATCH(E176,Produtos!$A$2:$A$11,0))</x:f>
        <x:v>Carregador USB-C</x:v>
      </x:c>
      <x:c r="G176" s="18" t="n">
        <x:v>3</x:v>
      </x:c>
      <x:c r="H176" s="17" t="n">
        <x:f>INDEX(Produtos!$D$2:$D$11,MATCH(E176,Produtos!$A$2:$A$11,0))</x:f>
        <x:v>59.9</x:v>
      </x:c>
      <x:c r="I176" s="17" t="n">
        <x:f>G176*H176</x:f>
        <x:v>179.7</x:v>
      </x:c>
      <x:c r="J176" s="14" t="str">
        <x:v>Cartão de crédito</x:v>
      </x:c>
      <x:c r="K176" s="14" t="str">
        <x:v>Entregue</x:v>
      </x:c>
      <x:c r="L176" s="15" t="str">
        <x:f>INDEX(Clientes!$F$2:$F$101,MATCH(C176,Clientes!$A$2:$A$101,0))</x:f>
        <x:v>PR</x:v>
      </x:c>
    </x:row>
    <x:row r="177" ht="20" customHeight="1">
      <x:c r="A177" s="13" t="str">
        <x:v>PED00176</x:v>
      </x:c>
      <x:c r="B177" s="19" t="n">
        <x:v>46025</x:v>
      </x:c>
      <x:c r="C177" s="14" t="str">
        <x:v>CLI0076</x:v>
      </x:c>
      <x:c r="D177" s="14" t="str">
        <x:f>INDEX(Clientes!$B$2:$B$101,MATCH(C177,Clientes!$A$2:$A$101,0))</x:f>
        <x:v>Vinícius Farias Machado</x:v>
      </x:c>
      <x:c r="E177" s="14" t="str">
        <x:v>PROD003</x:v>
      </x:c>
      <x:c r="F177" s="14" t="str">
        <x:f>INDEX(Produtos!$B$2:$B$11,MATCH(E177,Produtos!$A$2:$A$11,0))</x:f>
        <x:v>Fone Bluetooth</x:v>
      </x:c>
      <x:c r="G177" s="18" t="n">
        <x:v>1</x:v>
      </x:c>
      <x:c r="H177" s="17" t="n">
        <x:f>INDEX(Produtos!$D$2:$D$11,MATCH(E177,Produtos!$A$2:$A$11,0))</x:f>
        <x:v>129.9</x:v>
      </x:c>
      <x:c r="I177" s="17" t="n">
        <x:f>G177*H177</x:f>
        <x:v>129.9</x:v>
      </x:c>
      <x:c r="J177" s="14" t="str">
        <x:v>Boleto</x:v>
      </x:c>
      <x:c r="K177" s="14" t="str">
        <x:v>Processando</x:v>
      </x:c>
      <x:c r="L177" s="15" t="str">
        <x:f>INDEX(Clientes!$F$2:$F$101,MATCH(C177,Clientes!$A$2:$A$101,0))</x:f>
        <x:v>BA</x:v>
      </x:c>
    </x:row>
    <x:row r="178" ht="20" customHeight="1">
      <x:c r="A178" s="13" t="str">
        <x:v>PED00177</x:v>
      </x:c>
      <x:c r="B178" s="19" t="n">
        <x:v>46191</x:v>
      </x:c>
      <x:c r="C178" s="14" t="str">
        <x:v>CLI0066</x:v>
      </x:c>
      <x:c r="D178" s="14" t="str">
        <x:f>INDEX(Clientes!$B$2:$B$101,MATCH(C178,Clientes!$A$2:$A$101,0))</x:f>
        <x:v>Enzo Farias Barbosa</x:v>
      </x:c>
      <x:c r="E178" s="14" t="str">
        <x:v>PROD005</x:v>
      </x:c>
      <x:c r="F178" s="14" t="str">
        <x:f>INDEX(Produtos!$B$2:$B$11,MATCH(E178,Produtos!$A$2:$A$11,0))</x:f>
        <x:v>Luminária de Mesa LED</x:v>
      </x:c>
      <x:c r="G178" s="18" t="n">
        <x:v>7</x:v>
      </x:c>
      <x:c r="H178" s="17" t="n">
        <x:f>INDEX(Produtos!$D$2:$D$11,MATCH(E178,Produtos!$A$2:$A$11,0))</x:f>
        <x:v>89.5</x:v>
      </x:c>
      <x:c r="I178" s="17" t="n">
        <x:f>G178*H178</x:f>
        <x:v>626.5</x:v>
      </x:c>
      <x:c r="J178" s="14" t="str">
        <x:v>Cartão de crédito</x:v>
      </x:c>
      <x:c r="K178" s="14" t="str">
        <x:v>Entregue</x:v>
      </x:c>
      <x:c r="L178" s="15" t="str">
        <x:f>INDEX(Clientes!$F$2:$F$101,MATCH(C178,Clientes!$A$2:$A$101,0))</x:f>
        <x:v>SC</x:v>
      </x:c>
    </x:row>
    <x:row r="179" ht="20" customHeight="1">
      <x:c r="A179" s="13" t="str">
        <x:v>PED00178</x:v>
      </x:c>
      <x:c r="B179" s="19" t="n">
        <x:v>46053</x:v>
      </x:c>
      <x:c r="C179" s="14" t="str">
        <x:v>CLI0080</x:v>
      </x:c>
      <x:c r="D179" s="14" t="str">
        <x:f>INDEX(Clientes!$B$2:$B$101,MATCH(C179,Clientes!$A$2:$A$101,0))</x:f>
        <x:v>Caio Nascimento Vargas</x:v>
      </x:c>
      <x:c r="E179" s="14" t="str">
        <x:v>PROD003</x:v>
      </x:c>
      <x:c r="F179" s="14" t="str">
        <x:f>INDEX(Produtos!$B$2:$B$11,MATCH(E179,Produtos!$A$2:$A$11,0))</x:f>
        <x:v>Fone Bluetooth</x:v>
      </x:c>
      <x:c r="G179" s="18" t="n">
        <x:v>5</x:v>
      </x:c>
      <x:c r="H179" s="17" t="n">
        <x:f>INDEX(Produtos!$D$2:$D$11,MATCH(E179,Produtos!$A$2:$A$11,0))</x:f>
        <x:v>129.9</x:v>
      </x:c>
      <x:c r="I179" s="17" t="n">
        <x:f>G179*H179</x:f>
        <x:v>649.5</x:v>
      </x:c>
      <x:c r="J179" s="14" t="str">
        <x:v>Boleto</x:v>
      </x:c>
      <x:c r="K179" s="14" t="str">
        <x:v>Processando</x:v>
      </x:c>
      <x:c r="L179" s="15" t="str">
        <x:f>INDEX(Clientes!$F$2:$F$101,MATCH(C179,Clientes!$A$2:$A$101,0))</x:f>
        <x:v>SC</x:v>
      </x:c>
    </x:row>
    <x:row r="180" ht="20" customHeight="1">
      <x:c r="A180" s="13" t="str">
        <x:v>PED00179</x:v>
      </x:c>
      <x:c r="B180" s="19" t="n">
        <x:v>46024</x:v>
      </x:c>
      <x:c r="C180" s="14" t="str">
        <x:v>CLI0002</x:v>
      </x:c>
      <x:c r="D180" s="14" t="str">
        <x:f>INDEX(Clientes!$B$2:$B$101,MATCH(C180,Clientes!$A$2:$A$101,0))</x:f>
        <x:v>Enzo Cardoso Mendes</x:v>
      </x:c>
      <x:c r="E180" s="14" t="str">
        <x:v>PROD003</x:v>
      </x:c>
      <x:c r="F180" s="14" t="str">
        <x:f>INDEX(Produtos!$B$2:$B$11,MATCH(E180,Produtos!$A$2:$A$11,0))</x:f>
        <x:v>Fone Bluetooth</x:v>
      </x:c>
      <x:c r="G180" s="18" t="n">
        <x:v>3</x:v>
      </x:c>
      <x:c r="H180" s="17" t="n">
        <x:f>INDEX(Produtos!$D$2:$D$11,MATCH(E180,Produtos!$A$2:$A$11,0))</x:f>
        <x:v>129.9</x:v>
      </x:c>
      <x:c r="I180" s="17" t="n">
        <x:f>G180*H180</x:f>
        <x:v>389.70000000000005</x:v>
      </x:c>
      <x:c r="J180" s="14" t="str">
        <x:v>Cartão de crédito</x:v>
      </x:c>
      <x:c r="K180" s="14" t="str">
        <x:v>Entregue</x:v>
      </x:c>
      <x:c r="L180" s="15" t="str">
        <x:f>INDEX(Clientes!$F$2:$F$101,MATCH(C180,Clientes!$A$2:$A$101,0))</x:f>
        <x:v>PR</x:v>
      </x:c>
    </x:row>
    <x:row r="181" ht="20" customHeight="1">
      <x:c r="A181" s="13" t="str">
        <x:v>PED00180</x:v>
      </x:c>
      <x:c r="B181" s="19" t="n">
        <x:v>46026</x:v>
      </x:c>
      <x:c r="C181" s="14" t="str">
        <x:v>CLI0096</x:v>
      </x:c>
      <x:c r="D181" s="14" t="str">
        <x:f>INDEX(Clientes!$B$2:$B$101,MATCH(C181,Clientes!$A$2:$A$101,0))</x:f>
        <x:v>Bruno Farias Henrique</x:v>
      </x:c>
      <x:c r="E181" s="14" t="str">
        <x:v>PROD009</x:v>
      </x:c>
      <x:c r="F181" s="14" t="str">
        <x:f>INDEX(Produtos!$B$2:$B$11,MATCH(E181,Produtos!$A$2:$A$11,0))</x:f>
        <x:v>Carregador USB-C</x:v>
      </x:c>
      <x:c r="G181" s="18" t="n">
        <x:v>1</x:v>
      </x:c>
      <x:c r="H181" s="17" t="n">
        <x:f>INDEX(Produtos!$D$2:$D$11,MATCH(E181,Produtos!$A$2:$A$11,0))</x:f>
        <x:v>59.9</x:v>
      </x:c>
      <x:c r="I181" s="17" t="n">
        <x:f>G181*H181</x:f>
        <x:v>59.9</x:v>
      </x:c>
      <x:c r="J181" s="14" t="str">
        <x:v>Boleto</x:v>
      </x:c>
      <x:c r="K181" s="14" t="str">
        <x:v>Processando</x:v>
      </x:c>
      <x:c r="L181" s="15" t="str">
        <x:f>INDEX(Clientes!$F$2:$F$101,MATCH(C181,Clientes!$A$2:$A$101,0))</x:f>
        <x:v>MG</x:v>
      </x:c>
    </x:row>
    <x:row r="182" ht="20" customHeight="1">
      <x:c r="A182" s="13" t="str">
        <x:v>PED00181</x:v>
      </x:c>
      <x:c r="B182" s="19" t="n">
        <x:v>46054</x:v>
      </x:c>
      <x:c r="C182" s="14" t="str">
        <x:v>CLI0082</x:v>
      </x:c>
      <x:c r="D182" s="14" t="str">
        <x:f>INDEX(Clientes!$B$2:$B$101,MATCH(C182,Clientes!$A$2:$A$101,0))</x:f>
        <x:v>Bruno Esteves Barbosa</x:v>
      </x:c>
      <x:c r="E182" s="14" t="str">
        <x:v>PROD009</x:v>
      </x:c>
      <x:c r="F182" s="14" t="str">
        <x:f>INDEX(Produtos!$B$2:$B$11,MATCH(E182,Produtos!$A$2:$A$11,0))</x:f>
        <x:v>Carregador USB-C</x:v>
      </x:c>
      <x:c r="G182" s="18" t="n">
        <x:v>7</x:v>
      </x:c>
      <x:c r="H182" s="17" t="n">
        <x:f>INDEX(Produtos!$D$2:$D$11,MATCH(E182,Produtos!$A$2:$A$11,0))</x:f>
        <x:v>59.9</x:v>
      </x:c>
      <x:c r="I182" s="17" t="n">
        <x:f>G182*H182</x:f>
        <x:v>419.3</x:v>
      </x:c>
      <x:c r="J182" s="14" t="str">
        <x:v>Cartão de crédito</x:v>
      </x:c>
      <x:c r="K182" s="14" t="str">
        <x:v>Entregue</x:v>
      </x:c>
      <x:c r="L182" s="15" t="str">
        <x:f>INDEX(Clientes!$F$2:$F$101,MATCH(C182,Clientes!$A$2:$A$101,0))</x:f>
        <x:v>SC</x:v>
      </x:c>
    </x:row>
    <x:row r="183" ht="20" customHeight="1">
      <x:c r="A183" s="13" t="str">
        <x:v>PED00182</x:v>
      </x:c>
      <x:c r="B183" s="19" t="n">
        <x:v>46293</x:v>
      </x:c>
      <x:c r="C183" s="14" t="str">
        <x:v>CLI0076</x:v>
      </x:c>
      <x:c r="D183" s="14" t="str">
        <x:f>INDEX(Clientes!$B$2:$B$101,MATCH(C183,Clientes!$A$2:$A$101,0))</x:f>
        <x:v>Vinícius Farias Machado</x:v>
      </x:c>
      <x:c r="E183" s="14" t="str">
        <x:v>PROD009</x:v>
      </x:c>
      <x:c r="F183" s="14" t="str">
        <x:f>INDEX(Produtos!$B$2:$B$11,MATCH(E183,Produtos!$A$2:$A$11,0))</x:f>
        <x:v>Carregador USB-C</x:v>
      </x:c>
      <x:c r="G183" s="18" t="n">
        <x:v>5</x:v>
      </x:c>
      <x:c r="H183" s="17" t="n">
        <x:f>INDEX(Produtos!$D$2:$D$11,MATCH(E183,Produtos!$A$2:$A$11,0))</x:f>
        <x:v>59.9</x:v>
      </x:c>
      <x:c r="I183" s="17" t="n">
        <x:f>G183*H183</x:f>
        <x:v>299.5</x:v>
      </x:c>
      <x:c r="J183" s="14" t="str">
        <x:v>Boleto</x:v>
      </x:c>
      <x:c r="K183" s="14" t="str">
        <x:v>Processando</x:v>
      </x:c>
      <x:c r="L183" s="15" t="str">
        <x:f>INDEX(Clientes!$F$2:$F$101,MATCH(C183,Clientes!$A$2:$A$101,0))</x:f>
        <x:v>BA</x:v>
      </x:c>
    </x:row>
    <x:row r="184" ht="20" customHeight="1">
      <x:c r="A184" s="13" t="str">
        <x:v>PED00183</x:v>
      </x:c>
      <x:c r="B184" s="19" t="n">
        <x:v>46239</x:v>
      </x:c>
      <x:c r="C184" s="14" t="str">
        <x:v>CLI0086</x:v>
      </x:c>
      <x:c r="D184" s="14" t="str">
        <x:f>INDEX(Clientes!$B$2:$B$101,MATCH(C184,Clientes!$A$2:$A$101,0))</x:f>
        <x:v>Pedro Lopes Henrique</x:v>
      </x:c>
      <x:c r="E184" s="14" t="str">
        <x:v>PROD009</x:v>
      </x:c>
      <x:c r="F184" s="14" t="str">
        <x:f>INDEX(Produtos!$B$2:$B$11,MATCH(E184,Produtos!$A$2:$A$11,0))</x:f>
        <x:v>Carregador USB-C</x:v>
      </x:c>
      <x:c r="G184" s="18" t="n">
        <x:v>3</x:v>
      </x:c>
      <x:c r="H184" s="17" t="n">
        <x:f>INDEX(Produtos!$D$2:$D$11,MATCH(E184,Produtos!$A$2:$A$11,0))</x:f>
        <x:v>59.9</x:v>
      </x:c>
      <x:c r="I184" s="17" t="n">
        <x:f>G184*H184</x:f>
        <x:v>179.7</x:v>
      </x:c>
      <x:c r="J184" s="14" t="str">
        <x:v>Cartão de crédito</x:v>
      </x:c>
      <x:c r="K184" s="14" t="str">
        <x:v>Entregue</x:v>
      </x:c>
      <x:c r="L184" s="15" t="str">
        <x:f>INDEX(Clientes!$F$2:$F$101,MATCH(C184,Clientes!$A$2:$A$101,0))</x:f>
        <x:v>PR</x:v>
      </x:c>
    </x:row>
    <x:row r="185" ht="20" customHeight="1">
      <x:c r="A185" s="13" t="str">
        <x:v>PED00184</x:v>
      </x:c>
      <x:c r="B185" s="19" t="n">
        <x:v>46118</x:v>
      </x:c>
      <x:c r="C185" s="14" t="str">
        <x:v>CLI0056</x:v>
      </x:c>
      <x:c r="D185" s="14" t="str">
        <x:f>INDEX(Clientes!$B$2:$B$101,MATCH(C185,Clientes!$A$2:$A$101,0))</x:f>
        <x:v>Gustavo Andrade Souza</x:v>
      </x:c>
      <x:c r="E185" s="14" t="str">
        <x:v>PROD007</x:v>
      </x:c>
      <x:c r="F185" s="14" t="str">
        <x:f>INDEX(Produtos!$B$2:$B$11,MATCH(E185,Produtos!$A$2:$A$11,0))</x:f>
        <x:v>Caneca Cerâmica</x:v>
      </x:c>
      <x:c r="G185" s="18" t="n">
        <x:v>1</x:v>
      </x:c>
      <x:c r="H185" s="17" t="n">
        <x:f>INDEX(Produtos!$D$2:$D$11,MATCH(E185,Produtos!$A$2:$A$11,0))</x:f>
        <x:v>32</x:v>
      </x:c>
      <x:c r="I185" s="17" t="n">
        <x:f>G185*H185</x:f>
        <x:v>32</x:v>
      </x:c>
      <x:c r="J185" s="14" t="str">
        <x:v>Boleto</x:v>
      </x:c>
      <x:c r="K185" s="14" t="str">
        <x:v>Processando</x:v>
      </x:c>
      <x:c r="L185" s="15" t="str">
        <x:f>INDEX(Clientes!$F$2:$F$101,MATCH(C185,Clientes!$A$2:$A$101,0))</x:f>
        <x:v>PR</x:v>
      </x:c>
    </x:row>
    <x:row r="186" ht="20" customHeight="1">
      <x:c r="A186" s="13" t="str">
        <x:v>PED00185</x:v>
      </x:c>
      <x:c r="B186" s="19" t="n">
        <x:v>46161</x:v>
      </x:c>
      <x:c r="C186" s="14" t="str">
        <x:v>CLI0038</x:v>
      </x:c>
      <x:c r="D186" s="14" t="str">
        <x:f>INDEX(Clientes!$B$2:$B$101,MATCH(C186,Clientes!$A$2:$A$101,0))</x:f>
        <x:v>Pedro Ramos Junqueira</x:v>
      </x:c>
      <x:c r="E186" s="14" t="str">
        <x:v>PROD001</x:v>
      </x:c>
      <x:c r="F186" s="14" t="str">
        <x:f>INDEX(Produtos!$B$2:$B$11,MATCH(E186,Produtos!$A$2:$A$11,0))</x:f>
        <x:v>Caderno Universitário</x:v>
      </x:c>
      <x:c r="G186" s="18" t="n">
        <x:v>7</x:v>
      </x:c>
      <x:c r="H186" s="17" t="n">
        <x:f>INDEX(Produtos!$D$2:$D$11,MATCH(E186,Produtos!$A$2:$A$11,0))</x:f>
        <x:v>24.9</x:v>
      </x:c>
      <x:c r="I186" s="17" t="n">
        <x:f>G186*H186</x:f>
        <x:v>174.29999999999998</x:v>
      </x:c>
      <x:c r="J186" s="14" t="str">
        <x:v>Cartão de crédito</x:v>
      </x:c>
      <x:c r="K186" s="14" t="str">
        <x:v>Entregue</x:v>
      </x:c>
      <x:c r="L186" s="15" t="str">
        <x:f>INDEX(Clientes!$F$2:$F$101,MATCH(C186,Clientes!$A$2:$A$101,0))</x:f>
        <x:v>SC</x:v>
      </x:c>
    </x:row>
    <x:row r="187" ht="20" customHeight="1">
      <x:c r="A187" s="13" t="str">
        <x:v>PED00186</x:v>
      </x:c>
      <x:c r="B187" s="19" t="n">
        <x:v>46231</x:v>
      </x:c>
      <x:c r="C187" s="14" t="str">
        <x:v>CLI0048</x:v>
      </x:c>
      <x:c r="D187" s="14" t="str">
        <x:f>INDEX(Clientes!$B$2:$B$101,MATCH(C187,Clientes!$A$2:$A$101,0))</x:f>
        <x:v>Daniel Nascimento Barbosa</x:v>
      </x:c>
      <x:c r="E187" s="14" t="str">
        <x:v>PROD009</x:v>
      </x:c>
      <x:c r="F187" s="14" t="str">
        <x:f>INDEX(Produtos!$B$2:$B$11,MATCH(E187,Produtos!$A$2:$A$11,0))</x:f>
        <x:v>Carregador USB-C</x:v>
      </x:c>
      <x:c r="G187" s="18" t="n">
        <x:v>5</x:v>
      </x:c>
      <x:c r="H187" s="17" t="n">
        <x:f>INDEX(Produtos!$D$2:$D$11,MATCH(E187,Produtos!$A$2:$A$11,0))</x:f>
        <x:v>59.9</x:v>
      </x:c>
      <x:c r="I187" s="17" t="n">
        <x:f>G187*H187</x:f>
        <x:v>299.5</x:v>
      </x:c>
      <x:c r="J187" s="14" t="str">
        <x:v>Boleto</x:v>
      </x:c>
      <x:c r="K187" s="14" t="str">
        <x:v>Processando</x:v>
      </x:c>
      <x:c r="L187" s="15" t="str">
        <x:f>INDEX(Clientes!$F$2:$F$101,MATCH(C187,Clientes!$A$2:$A$101,0))</x:f>
        <x:v>SP</x:v>
      </x:c>
    </x:row>
    <x:row r="188" ht="20" customHeight="1">
      <x:c r="A188" s="13" t="str">
        <x:v>PED00187</x:v>
      </x:c>
      <x:c r="B188" s="19" t="n">
        <x:v>46277</x:v>
      </x:c>
      <x:c r="C188" s="14" t="str">
        <x:v>CLI0038</x:v>
      </x:c>
      <x:c r="D188" s="14" t="str">
        <x:f>INDEX(Clientes!$B$2:$B$101,MATCH(C188,Clientes!$A$2:$A$101,0))</x:f>
        <x:v>Pedro Ramos Junqueira</x:v>
      </x:c>
      <x:c r="E188" s="14" t="str">
        <x:v>PROD007</x:v>
      </x:c>
      <x:c r="F188" s="14" t="str">
        <x:f>INDEX(Produtos!$B$2:$B$11,MATCH(E188,Produtos!$A$2:$A$11,0))</x:f>
        <x:v>Caneca Cerâmica</x:v>
      </x:c>
      <x:c r="G188" s="18" t="n">
        <x:v>3</x:v>
      </x:c>
      <x:c r="H188" s="17" t="n">
        <x:f>INDEX(Produtos!$D$2:$D$11,MATCH(E188,Produtos!$A$2:$A$11,0))</x:f>
        <x:v>32</x:v>
      </x:c>
      <x:c r="I188" s="17" t="n">
        <x:f>G188*H188</x:f>
        <x:v>96</x:v>
      </x:c>
      <x:c r="J188" s="14" t="str">
        <x:v>Cartão de crédito</x:v>
      </x:c>
      <x:c r="K188" s="14" t="str">
        <x:v>Entregue</x:v>
      </x:c>
      <x:c r="L188" s="15" t="str">
        <x:f>INDEX(Clientes!$F$2:$F$101,MATCH(C188,Clientes!$A$2:$A$101,0))</x:f>
        <x:v>SC</x:v>
      </x:c>
    </x:row>
    <x:row r="189" ht="20" customHeight="1">
      <x:c r="A189" s="13" t="str">
        <x:v>PED00188</x:v>
      </x:c>
      <x:c r="B189" s="19" t="n">
        <x:v>46055</x:v>
      </x:c>
      <x:c r="C189" s="14" t="str">
        <x:v>CLI0044</x:v>
      </x:c>
      <x:c r="D189" s="14" t="str">
        <x:f>INDEX(Clientes!$B$2:$B$101,MATCH(C189,Clientes!$A$2:$A$101,0))</x:f>
        <x:v>Igor Rocha Garcia</x:v>
      </x:c>
      <x:c r="E189" s="14" t="str">
        <x:v>PROD005</x:v>
      </x:c>
      <x:c r="F189" s="14" t="str">
        <x:f>INDEX(Produtos!$B$2:$B$11,MATCH(E189,Produtos!$A$2:$A$11,0))</x:f>
        <x:v>Luminária de Mesa LED</x:v>
      </x:c>
      <x:c r="G189" s="18" t="n">
        <x:v>1</x:v>
      </x:c>
      <x:c r="H189" s="17" t="n">
        <x:f>INDEX(Produtos!$D$2:$D$11,MATCH(E189,Produtos!$A$2:$A$11,0))</x:f>
        <x:v>89.5</x:v>
      </x:c>
      <x:c r="I189" s="17" t="n">
        <x:f>G189*H189</x:f>
        <x:v>89.5</x:v>
      </x:c>
      <x:c r="J189" s="14" t="str">
        <x:v>Boleto</x:v>
      </x:c>
      <x:c r="K189" s="14" t="str">
        <x:v>Processando</x:v>
      </x:c>
      <x:c r="L189" s="15" t="str">
        <x:f>INDEX(Clientes!$F$2:$F$101,MATCH(C189,Clientes!$A$2:$A$101,0))</x:f>
        <x:v>SC</x:v>
      </x:c>
    </x:row>
    <x:row r="190" ht="20" customHeight="1">
      <x:c r="A190" s="13" t="str">
        <x:v>PED00189</x:v>
      </x:c>
      <x:c r="B190" s="19" t="n">
        <x:v>46176</x:v>
      </x:c>
      <x:c r="C190" s="14" t="str">
        <x:v>CLI0002</x:v>
      </x:c>
      <x:c r="D190" s="14" t="str">
        <x:f>INDEX(Clientes!$B$2:$B$101,MATCH(C190,Clientes!$A$2:$A$101,0))</x:f>
        <x:v>Enzo Cardoso Mendes</x:v>
      </x:c>
      <x:c r="E190" s="14" t="str">
        <x:v>PROD001</x:v>
      </x:c>
      <x:c r="F190" s="14" t="str">
        <x:f>INDEX(Produtos!$B$2:$B$11,MATCH(E190,Produtos!$A$2:$A$11,0))</x:f>
        <x:v>Caderno Universitário</x:v>
      </x:c>
      <x:c r="G190" s="18" t="n">
        <x:v>7</x:v>
      </x:c>
      <x:c r="H190" s="17" t="n">
        <x:f>INDEX(Produtos!$D$2:$D$11,MATCH(E190,Produtos!$A$2:$A$11,0))</x:f>
        <x:v>24.9</x:v>
      </x:c>
      <x:c r="I190" s="17" t="n">
        <x:f>G190*H190</x:f>
        <x:v>174.29999999999998</x:v>
      </x:c>
      <x:c r="J190" s="14" t="str">
        <x:v>Cartão de crédito</x:v>
      </x:c>
      <x:c r="K190" s="14" t="str">
        <x:v>Entregue</x:v>
      </x:c>
      <x:c r="L190" s="15" t="str">
        <x:f>INDEX(Clientes!$F$2:$F$101,MATCH(C190,Clientes!$A$2:$A$101,0))</x:f>
        <x:v>PR</x:v>
      </x:c>
    </x:row>
    <x:row r="191" ht="20" customHeight="1">
      <x:c r="A191" s="13" t="str">
        <x:v>PED00190</x:v>
      </x:c>
      <x:c r="B191" s="19" t="n">
        <x:v>46189</x:v>
      </x:c>
      <x:c r="C191" s="14" t="str">
        <x:v>CLI0024</x:v>
      </x:c>
      <x:c r="D191" s="14" t="str">
        <x:f>INDEX(Clientes!$B$2:$B$101,MATCH(C191,Clientes!$A$2:$A$101,0))</x:f>
        <x:v>João Cardoso Duarte</x:v>
      </x:c>
      <x:c r="E191" s="14" t="str">
        <x:v>PROD007</x:v>
      </x:c>
      <x:c r="F191" s="14" t="str">
        <x:f>INDEX(Produtos!$B$2:$B$11,MATCH(E191,Produtos!$A$2:$A$11,0))</x:f>
        <x:v>Caneca Cerâmica</x:v>
      </x:c>
      <x:c r="G191" s="18" t="n">
        <x:v>5</x:v>
      </x:c>
      <x:c r="H191" s="17" t="n">
        <x:f>INDEX(Produtos!$D$2:$D$11,MATCH(E191,Produtos!$A$2:$A$11,0))</x:f>
        <x:v>32</x:v>
      </x:c>
      <x:c r="I191" s="17" t="n">
        <x:f>G191*H191</x:f>
        <x:v>160</x:v>
      </x:c>
      <x:c r="J191" s="14" t="str">
        <x:v>Boleto</x:v>
      </x:c>
      <x:c r="K191" s="14" t="str">
        <x:v>Processando</x:v>
      </x:c>
      <x:c r="L191" s="15" t="str">
        <x:f>INDEX(Clientes!$F$2:$F$101,MATCH(C191,Clientes!$A$2:$A$101,0))</x:f>
        <x:v>SP</x:v>
      </x:c>
    </x:row>
    <x:row r="192" ht="20" customHeight="1">
      <x:c r="A192" s="13" t="str">
        <x:v>PED00191</x:v>
      </x:c>
      <x:c r="B192" s="19" t="n">
        <x:v>46078</x:v>
      </x:c>
      <x:c r="C192" s="14" t="str">
        <x:v>CLI0010</x:v>
      </x:c>
      <x:c r="D192" s="14" t="str">
        <x:f>INDEX(Clientes!$B$2:$B$101,MATCH(C192,Clientes!$A$2:$A$101,0))</x:f>
        <x:v>Samuel Almeida Henrique</x:v>
      </x:c>
      <x:c r="E192" s="14" t="str">
        <x:v>PROD009</x:v>
      </x:c>
      <x:c r="F192" s="14" t="str">
        <x:f>INDEX(Produtos!$B$2:$B$11,MATCH(E192,Produtos!$A$2:$A$11,0))</x:f>
        <x:v>Carregador USB-C</x:v>
      </x:c>
      <x:c r="G192" s="18" t="n">
        <x:v>3</x:v>
      </x:c>
      <x:c r="H192" s="17" t="n">
        <x:f>INDEX(Produtos!$D$2:$D$11,MATCH(E192,Produtos!$A$2:$A$11,0))</x:f>
        <x:v>59.9</x:v>
      </x:c>
      <x:c r="I192" s="17" t="n">
        <x:f>G192*H192</x:f>
        <x:v>179.7</x:v>
      </x:c>
      <x:c r="J192" s="14" t="str">
        <x:v>Cartão de crédito</x:v>
      </x:c>
      <x:c r="K192" s="14" t="str">
        <x:v>Entregue</x:v>
      </x:c>
      <x:c r="L192" s="15" t="str">
        <x:f>INDEX(Clientes!$F$2:$F$101,MATCH(C192,Clientes!$A$2:$A$101,0))</x:f>
        <x:v>PR</x:v>
      </x:c>
    </x:row>
    <x:row r="193" ht="20" customHeight="1">
      <x:c r="A193" s="13" t="str">
        <x:v>PED00192</x:v>
      </x:c>
      <x:c r="B193" s="19" t="n">
        <x:v>46180</x:v>
      </x:c>
      <x:c r="C193" s="14" t="str">
        <x:v>CLI0016</x:v>
      </x:c>
      <x:c r="D193" s="14" t="str">
        <x:f>INDEX(Clientes!$B$2:$B$101,MATCH(C193,Clientes!$A$2:$A$101,0))</x:f>
        <x:v>Lucas Costa Junqueira</x:v>
      </x:c>
      <x:c r="E193" s="14" t="str">
        <x:v>PROD005</x:v>
      </x:c>
      <x:c r="F193" s="14" t="str">
        <x:f>INDEX(Produtos!$B$2:$B$11,MATCH(E193,Produtos!$A$2:$A$11,0))</x:f>
        <x:v>Luminária de Mesa LED</x:v>
      </x:c>
      <x:c r="G193" s="18" t="n">
        <x:v>1</x:v>
      </x:c>
      <x:c r="H193" s="17" t="n">
        <x:f>INDEX(Produtos!$D$2:$D$11,MATCH(E193,Produtos!$A$2:$A$11,0))</x:f>
        <x:v>89.5</x:v>
      </x:c>
      <x:c r="I193" s="17" t="n">
        <x:f>G193*H193</x:f>
        <x:v>89.5</x:v>
      </x:c>
      <x:c r="J193" s="14" t="str">
        <x:v>Boleto</x:v>
      </x:c>
      <x:c r="K193" s="14" t="str">
        <x:v>Processando</x:v>
      </x:c>
      <x:c r="L193" s="15" t="str">
        <x:f>INDEX(Clientes!$F$2:$F$101,MATCH(C193,Clientes!$A$2:$A$101,0))</x:f>
        <x:v>MG</x:v>
      </x:c>
    </x:row>
    <x:row r="194" ht="20" customHeight="1">
      <x:c r="A194" s="13" t="str">
        <x:v>PED00193</x:v>
      </x:c>
      <x:c r="B194" s="19" t="n">
        <x:v>46067</x:v>
      </x:c>
      <x:c r="C194" s="14" t="str">
        <x:v>CLI0066</x:v>
      </x:c>
      <x:c r="D194" s="14" t="str">
        <x:f>INDEX(Clientes!$B$2:$B$101,MATCH(C194,Clientes!$A$2:$A$101,0))</x:f>
        <x:v>Enzo Farias Barbosa</x:v>
      </x:c>
      <x:c r="E194" s="14" t="str">
        <x:v>PROD003</x:v>
      </x:c>
      <x:c r="F194" s="14" t="str">
        <x:f>INDEX(Produtos!$B$2:$B$11,MATCH(E194,Produtos!$A$2:$A$11,0))</x:f>
        <x:v>Fone Bluetooth</x:v>
      </x:c>
      <x:c r="G194" s="18" t="n">
        <x:v>7</x:v>
      </x:c>
      <x:c r="H194" s="17" t="n">
        <x:f>INDEX(Produtos!$D$2:$D$11,MATCH(E194,Produtos!$A$2:$A$11,0))</x:f>
        <x:v>129.9</x:v>
      </x:c>
      <x:c r="I194" s="17" t="n">
        <x:f>G194*H194</x:f>
        <x:v>909.3000000000001</x:v>
      </x:c>
      <x:c r="J194" s="14" t="str">
        <x:v>Cartão de crédito</x:v>
      </x:c>
      <x:c r="K194" s="14" t="str">
        <x:v>Entregue</x:v>
      </x:c>
      <x:c r="L194" s="15" t="str">
        <x:f>INDEX(Clientes!$F$2:$F$101,MATCH(C194,Clientes!$A$2:$A$101,0))</x:f>
        <x:v>SC</x:v>
      </x:c>
    </x:row>
    <x:row r="195" ht="20" customHeight="1">
      <x:c r="A195" s="13" t="str">
        <x:v>PED00194</x:v>
      </x:c>
      <x:c r="B195" s="19" t="n">
        <x:v>46039</x:v>
      </x:c>
      <x:c r="C195" s="14" t="str">
        <x:v>CLI0068</x:v>
      </x:c>
      <x:c r="D195" s="14" t="str">
        <x:f>INDEX(Clientes!$B$2:$B$101,MATCH(C195,Clientes!$A$2:$A$101,0))</x:f>
        <x:v>Igor Andrade Machado</x:v>
      </x:c>
      <x:c r="E195" s="14" t="str">
        <x:v>PROD005</x:v>
      </x:c>
      <x:c r="F195" s="14" t="str">
        <x:f>INDEX(Produtos!$B$2:$B$11,MATCH(E195,Produtos!$A$2:$A$11,0))</x:f>
        <x:v>Luminária de Mesa LED</x:v>
      </x:c>
      <x:c r="G195" s="18" t="n">
        <x:v>5</x:v>
      </x:c>
      <x:c r="H195" s="17" t="n">
        <x:f>INDEX(Produtos!$D$2:$D$11,MATCH(E195,Produtos!$A$2:$A$11,0))</x:f>
        <x:v>89.5</x:v>
      </x:c>
      <x:c r="I195" s="17" t="n">
        <x:f>G195*H195</x:f>
        <x:v>447.5</x:v>
      </x:c>
      <x:c r="J195" s="14" t="str">
        <x:v>Boleto</x:v>
      </x:c>
      <x:c r="K195" s="14" t="str">
        <x:v>Processando</x:v>
      </x:c>
      <x:c r="L195" s="15" t="str">
        <x:f>INDEX(Clientes!$F$2:$F$101,MATCH(C195,Clientes!$A$2:$A$101,0))</x:f>
        <x:v>SP</x:v>
      </x:c>
    </x:row>
    <x:row r="196" ht="20" customHeight="1">
      <x:c r="A196" s="13" t="str">
        <x:v>PED00195</x:v>
      </x:c>
      <x:c r="B196" s="19" t="n">
        <x:v>46060</x:v>
      </x:c>
      <x:c r="C196" s="14" t="str">
        <x:v>CLI0090</x:v>
      </x:c>
      <x:c r="D196" s="14" t="str">
        <x:f>INDEX(Clientes!$B$2:$B$101,MATCH(C196,Clientes!$A$2:$A$101,0))</x:f>
        <x:v>Bruno Pereira Silva</x:v>
      </x:c>
      <x:c r="E196" s="14" t="str">
        <x:v>PROD005</x:v>
      </x:c>
      <x:c r="F196" s="14" t="str">
        <x:f>INDEX(Produtos!$B$2:$B$11,MATCH(E196,Produtos!$A$2:$A$11,0))</x:f>
        <x:v>Luminária de Mesa LED</x:v>
      </x:c>
      <x:c r="G196" s="18" t="n">
        <x:v>3</x:v>
      </x:c>
      <x:c r="H196" s="17" t="n">
        <x:f>INDEX(Produtos!$D$2:$D$11,MATCH(E196,Produtos!$A$2:$A$11,0))</x:f>
        <x:v>89.5</x:v>
      </x:c>
      <x:c r="I196" s="17" t="n">
        <x:f>G196*H196</x:f>
        <x:v>268.5</x:v>
      </x:c>
      <x:c r="J196" s="14" t="str">
        <x:v>Cartão de crédito</x:v>
      </x:c>
      <x:c r="K196" s="14" t="str">
        <x:v>Entregue</x:v>
      </x:c>
      <x:c r="L196" s="15" t="str">
        <x:f>INDEX(Clientes!$F$2:$F$101,MATCH(C196,Clientes!$A$2:$A$101,0))</x:f>
        <x:v>BA</x:v>
      </x:c>
    </x:row>
    <x:row r="197" ht="20" customHeight="1">
      <x:c r="A197" s="13" t="str">
        <x:v>PED00196</x:v>
      </x:c>
      <x:c r="B197" s="19" t="n">
        <x:v>46047</x:v>
      </x:c>
      <x:c r="C197" s="14" t="str">
        <x:v>CLI0048</x:v>
      </x:c>
      <x:c r="D197" s="14" t="str">
        <x:f>INDEX(Clientes!$B$2:$B$101,MATCH(C197,Clientes!$A$2:$A$101,0))</x:f>
        <x:v>Daniel Nascimento Barbosa</x:v>
      </x:c>
      <x:c r="E197" s="14" t="str">
        <x:v>PROD007</x:v>
      </x:c>
      <x:c r="F197" s="14" t="str">
        <x:f>INDEX(Produtos!$B$2:$B$11,MATCH(E197,Produtos!$A$2:$A$11,0))</x:f>
        <x:v>Caneca Cerâmica</x:v>
      </x:c>
      <x:c r="G197" s="18" t="n">
        <x:v>1</x:v>
      </x:c>
      <x:c r="H197" s="17" t="n">
        <x:f>INDEX(Produtos!$D$2:$D$11,MATCH(E197,Produtos!$A$2:$A$11,0))</x:f>
        <x:v>32</x:v>
      </x:c>
      <x:c r="I197" s="17" t="n">
        <x:f>G197*H197</x:f>
        <x:v>32</x:v>
      </x:c>
      <x:c r="J197" s="14" t="str">
        <x:v>Boleto</x:v>
      </x:c>
      <x:c r="K197" s="14" t="str">
        <x:v>Processando</x:v>
      </x:c>
      <x:c r="L197" s="15" t="str">
        <x:f>INDEX(Clientes!$F$2:$F$101,MATCH(C197,Clientes!$A$2:$A$101,0))</x:f>
        <x:v>SP</x:v>
      </x:c>
    </x:row>
    <x:row r="198" ht="20" customHeight="1">
      <x:c r="A198" s="13" t="str">
        <x:v>PED00197</x:v>
      </x:c>
      <x:c r="B198" s="19" t="n">
        <x:v>46149</x:v>
      </x:c>
      <x:c r="C198" s="14" t="str">
        <x:v>CLI0098</x:v>
      </x:c>
      <x:c r="D198" s="14" t="str">
        <x:f>INDEX(Clientes!$B$2:$B$101,MATCH(C198,Clientes!$A$2:$A$101,0))</x:f>
        <x:v>Pedro Lopes Vargas</x:v>
      </x:c>
      <x:c r="E198" s="14" t="str">
        <x:v>PROD003</x:v>
      </x:c>
      <x:c r="F198" s="14" t="str">
        <x:f>INDEX(Produtos!$B$2:$B$11,MATCH(E198,Produtos!$A$2:$A$11,0))</x:f>
        <x:v>Fone Bluetooth</x:v>
      </x:c>
      <x:c r="G198" s="18" t="n">
        <x:v>7</x:v>
      </x:c>
      <x:c r="H198" s="17" t="n">
        <x:f>INDEX(Produtos!$D$2:$D$11,MATCH(E198,Produtos!$A$2:$A$11,0))</x:f>
        <x:v>129.9</x:v>
      </x:c>
      <x:c r="I198" s="17" t="n">
        <x:f>G198*H198</x:f>
        <x:v>909.3000000000001</x:v>
      </x:c>
      <x:c r="J198" s="14" t="str">
        <x:v>Cartão de crédito</x:v>
      </x:c>
      <x:c r="K198" s="14" t="str">
        <x:v>Entregue</x:v>
      </x:c>
      <x:c r="L198" s="15" t="str">
        <x:f>INDEX(Clientes!$F$2:$F$101,MATCH(C198,Clientes!$A$2:$A$101,0))</x:f>
        <x:v>BA</x:v>
      </x:c>
    </x:row>
    <x:row r="199" ht="20" customHeight="1">
      <x:c r="A199" s="13" t="str">
        <x:v>PED00198</x:v>
      </x:c>
      <x:c r="B199" s="19" t="n">
        <x:v>46098</x:v>
      </x:c>
      <x:c r="C199" s="14" t="str">
        <x:v>CLI0056</x:v>
      </x:c>
      <x:c r="D199" s="14" t="str">
        <x:f>INDEX(Clientes!$B$2:$B$101,MATCH(C199,Clientes!$A$2:$A$101,0))</x:f>
        <x:v>Gustavo Andrade Souza</x:v>
      </x:c>
      <x:c r="E199" s="14" t="str">
        <x:v>PROD009</x:v>
      </x:c>
      <x:c r="F199" s="14" t="str">
        <x:f>INDEX(Produtos!$B$2:$B$11,MATCH(E199,Produtos!$A$2:$A$11,0))</x:f>
        <x:v>Carregador USB-C</x:v>
      </x:c>
      <x:c r="G199" s="18" t="n">
        <x:v>5</x:v>
      </x:c>
      <x:c r="H199" s="17" t="n">
        <x:f>INDEX(Produtos!$D$2:$D$11,MATCH(E199,Produtos!$A$2:$A$11,0))</x:f>
        <x:v>59.9</x:v>
      </x:c>
      <x:c r="I199" s="17" t="n">
        <x:f>G199*H199</x:f>
        <x:v>299.5</x:v>
      </x:c>
      <x:c r="J199" s="14" t="str">
        <x:v>Boleto</x:v>
      </x:c>
      <x:c r="K199" s="14" t="str">
        <x:v>Processando</x:v>
      </x:c>
      <x:c r="L199" s="15" t="str">
        <x:f>INDEX(Clientes!$F$2:$F$101,MATCH(C199,Clientes!$A$2:$A$101,0))</x:f>
        <x:v>PR</x:v>
      </x:c>
    </x:row>
    <x:row r="200" ht="20" customHeight="1">
      <x:c r="A200" s="13" t="str">
        <x:v>PED00199</x:v>
      </x:c>
      <x:c r="B200" s="19" t="n">
        <x:v>46112</x:v>
      </x:c>
      <x:c r="C200" s="14" t="str">
        <x:v>CLI0054</x:v>
      </x:c>
      <x:c r="D200" s="14" t="str">
        <x:f>INDEX(Clientes!$B$2:$B$101,MATCH(C200,Clientes!$A$2:$A$101,0))</x:f>
        <x:v>Lucas Farias Ferreira</x:v>
      </x:c>
      <x:c r="E200" s="14" t="str">
        <x:v>PROD007</x:v>
      </x:c>
      <x:c r="F200" s="14" t="str">
        <x:f>INDEX(Produtos!$B$2:$B$11,MATCH(E200,Produtos!$A$2:$A$11,0))</x:f>
        <x:v>Caneca Cerâmica</x:v>
      </x:c>
      <x:c r="G200" s="18" t="n">
        <x:v>3</x:v>
      </x:c>
      <x:c r="H200" s="17" t="n">
        <x:f>INDEX(Produtos!$D$2:$D$11,MATCH(E200,Produtos!$A$2:$A$11,0))</x:f>
        <x:v>32</x:v>
      </x:c>
      <x:c r="I200" s="17" t="n">
        <x:f>G200*H200</x:f>
        <x:v>96</x:v>
      </x:c>
      <x:c r="J200" s="14" t="str">
        <x:v>Cartão de crédito</x:v>
      </x:c>
      <x:c r="K200" s="14" t="str">
        <x:v>Entregue</x:v>
      </x:c>
      <x:c r="L200" s="15" t="str">
        <x:f>INDEX(Clientes!$F$2:$F$101,MATCH(C200,Clientes!$A$2:$A$101,0))</x:f>
        <x:v>SC</x:v>
      </x:c>
    </x:row>
    <x:row r="201" ht="20" customHeight="1">
      <x:c r="A201" s="13" t="str">
        <x:v>PED00200</x:v>
      </x:c>
      <x:c r="B201" s="19" t="n">
        <x:v>46146</x:v>
      </x:c>
      <x:c r="C201" s="14" t="str">
        <x:v>CLI0100</x:v>
      </x:c>
      <x:c r="D201" s="14" t="str">
        <x:f>INDEX(Clientes!$B$2:$B$101,MATCH(C201,Clientes!$A$2:$A$101,0))</x:f>
        <x:v>Igor Ramos Silva</x:v>
      </x:c>
      <x:c r="E201" s="14" t="str">
        <x:v>PROD005</x:v>
      </x:c>
      <x:c r="F201" s="14" t="str">
        <x:f>INDEX(Produtos!$B$2:$B$11,MATCH(E201,Produtos!$A$2:$A$11,0))</x:f>
        <x:v>Luminária de Mesa LED</x:v>
      </x:c>
      <x:c r="G201" s="18" t="n">
        <x:v>1</x:v>
      </x:c>
      <x:c r="H201" s="17" t="n">
        <x:f>INDEX(Produtos!$D$2:$D$11,MATCH(E201,Produtos!$A$2:$A$11,0))</x:f>
        <x:v>89.5</x:v>
      </x:c>
      <x:c r="I201" s="17" t="n">
        <x:f>G201*H201</x:f>
        <x:v>89.5</x:v>
      </x:c>
      <x:c r="J201" s="14" t="str">
        <x:v>Boleto</x:v>
      </x:c>
      <x:c r="K201" s="14" t="str">
        <x:v>Processando</x:v>
      </x:c>
      <x:c r="L201" s="15" t="str">
        <x:f>INDEX(Clientes!$F$2:$F$101,MATCH(C201,Clientes!$A$2:$A$101,0))</x:f>
        <x:v>SP</x:v>
      </x:c>
    </x:row>
    <x:row r="202" ht="20" customHeight="1">
      <x:c r="A202" s="13" t="str">
        <x:v>PED00201</x:v>
      </x:c>
      <x:c r="B202" s="19" t="n">
        <x:v>46110</x:v>
      </x:c>
      <x:c r="C202" s="14" t="str">
        <x:v>CLI0018</x:v>
      </x:c>
      <x:c r="D202" s="14" t="str">
        <x:f>INDEX(Clientes!$B$2:$B$101,MATCH(C202,Clientes!$A$2:$A$101,0))</x:f>
        <x:v>Bruno Cardoso Dias</x:v>
      </x:c>
      <x:c r="E202" s="14" t="str">
        <x:v>PROD003</x:v>
      </x:c>
      <x:c r="F202" s="14" t="str">
        <x:f>INDEX(Produtos!$B$2:$B$11,MATCH(E202,Produtos!$A$2:$A$11,0))</x:f>
        <x:v>Fone Bluetooth</x:v>
      </x:c>
      <x:c r="G202" s="18" t="n">
        <x:v>7</x:v>
      </x:c>
      <x:c r="H202" s="17" t="n">
        <x:f>INDEX(Produtos!$D$2:$D$11,MATCH(E202,Produtos!$A$2:$A$11,0))</x:f>
        <x:v>129.9</x:v>
      </x:c>
      <x:c r="I202" s="17" t="n">
        <x:f>G202*H202</x:f>
        <x:v>909.3000000000001</x:v>
      </x:c>
      <x:c r="J202" s="14" t="str">
        <x:v>Cartão de crédito</x:v>
      </x:c>
      <x:c r="K202" s="14" t="str">
        <x:v>Entregue</x:v>
      </x:c>
      <x:c r="L202" s="15" t="str">
        <x:f>INDEX(Clientes!$F$2:$F$101,MATCH(C202,Clientes!$A$2:$A$101,0))</x:f>
        <x:v>BA</x:v>
      </x:c>
    </x:row>
    <x:row r="203" ht="20" customHeight="1">
      <x:c r="A203" s="13" t="str">
        <x:v>PED00202</x:v>
      </x:c>
      <x:c r="B203" s="19" t="n">
        <x:v>46161</x:v>
      </x:c>
      <x:c r="C203" s="14" t="str">
        <x:v>CLI0040</x:v>
      </x:c>
      <x:c r="D203" s="14" t="str">
        <x:f>INDEX(Clientes!$B$2:$B$101,MATCH(C203,Clientes!$A$2:$A$101,0))</x:f>
        <x:v>Vinícius Andrade Vargas</x:v>
      </x:c>
      <x:c r="E203" s="14" t="str">
        <x:v>PROD003</x:v>
      </x:c>
      <x:c r="F203" s="14" t="str">
        <x:f>INDEX(Produtos!$B$2:$B$11,MATCH(E203,Produtos!$A$2:$A$11,0))</x:f>
        <x:v>Fone Bluetooth</x:v>
      </x:c>
      <x:c r="G203" s="18" t="n">
        <x:v>5</x:v>
      </x:c>
      <x:c r="H203" s="17" t="n">
        <x:f>INDEX(Produtos!$D$2:$D$11,MATCH(E203,Produtos!$A$2:$A$11,0))</x:f>
        <x:v>129.9</x:v>
      </x:c>
      <x:c r="I203" s="17" t="n">
        <x:f>G203*H203</x:f>
        <x:v>649.5</x:v>
      </x:c>
      <x:c r="J203" s="14" t="str">
        <x:v>Boleto</x:v>
      </x:c>
      <x:c r="K203" s="14" t="str">
        <x:v>Processando</x:v>
      </x:c>
      <x:c r="L203" s="15" t="str">
        <x:f>INDEX(Clientes!$F$2:$F$101,MATCH(C203,Clientes!$A$2:$A$101,0))</x:f>
        <x:v>PR</x:v>
      </x:c>
    </x:row>
    <x:row r="204" ht="20" customHeight="1">
      <x:c r="A204" s="13" t="str">
        <x:v>PED00203</x:v>
      </x:c>
      <x:c r="B204" s="19" t="n">
        <x:v>46044</x:v>
      </x:c>
      <x:c r="C204" s="14" t="str">
        <x:v>CLI0054</x:v>
      </x:c>
      <x:c r="D204" s="14" t="str">
        <x:f>INDEX(Clientes!$B$2:$B$101,MATCH(C204,Clientes!$A$2:$A$101,0))</x:f>
        <x:v>Lucas Farias Ferreira</x:v>
      </x:c>
      <x:c r="E204" s="14" t="str">
        <x:v>PROD007</x:v>
      </x:c>
      <x:c r="F204" s="14" t="str">
        <x:f>INDEX(Produtos!$B$2:$B$11,MATCH(E204,Produtos!$A$2:$A$11,0))</x:f>
        <x:v>Caneca Cerâmica</x:v>
      </x:c>
      <x:c r="G204" s="18" t="n">
        <x:v>3</x:v>
      </x:c>
      <x:c r="H204" s="17" t="n">
        <x:f>INDEX(Produtos!$D$2:$D$11,MATCH(E204,Produtos!$A$2:$A$11,0))</x:f>
        <x:v>32</x:v>
      </x:c>
      <x:c r="I204" s="17" t="n">
        <x:f>G204*H204</x:f>
        <x:v>96</x:v>
      </x:c>
      <x:c r="J204" s="14" t="str">
        <x:v>Cartão de crédito</x:v>
      </x:c>
      <x:c r="K204" s="14" t="str">
        <x:v>Entregue</x:v>
      </x:c>
      <x:c r="L204" s="15" t="str">
        <x:f>INDEX(Clientes!$F$2:$F$101,MATCH(C204,Clientes!$A$2:$A$101,0))</x:f>
        <x:v>SC</x:v>
      </x:c>
    </x:row>
    <x:row r="205" ht="20" customHeight="1">
      <x:c r="A205" s="13" t="str">
        <x:v>PED00204</x:v>
      </x:c>
      <x:c r="B205" s="19" t="n">
        <x:v>46096</x:v>
      </x:c>
      <x:c r="C205" s="14" t="str">
        <x:v>CLI0032</x:v>
      </x:c>
      <x:c r="D205" s="14" t="str">
        <x:f>INDEX(Clientes!$B$2:$B$101,MATCH(C205,Clientes!$A$2:$A$101,0))</x:f>
        <x:v>Leonardo Lima Oliveira</x:v>
      </x:c>
      <x:c r="E205" s="14" t="str">
        <x:v>PROD005</x:v>
      </x:c>
      <x:c r="F205" s="14" t="str">
        <x:f>INDEX(Produtos!$B$2:$B$11,MATCH(E205,Produtos!$A$2:$A$11,0))</x:f>
        <x:v>Luminária de Mesa LED</x:v>
      </x:c>
      <x:c r="G205" s="18" t="n">
        <x:v>1</x:v>
      </x:c>
      <x:c r="H205" s="17" t="n">
        <x:f>INDEX(Produtos!$D$2:$D$11,MATCH(E205,Produtos!$A$2:$A$11,0))</x:f>
        <x:v>89.5</x:v>
      </x:c>
      <x:c r="I205" s="17" t="n">
        <x:f>G205*H205</x:f>
        <x:v>89.5</x:v>
      </x:c>
      <x:c r="J205" s="14" t="str">
        <x:v>Boleto</x:v>
      </x:c>
      <x:c r="K205" s="14" t="str">
        <x:v>Processando</x:v>
      </x:c>
      <x:c r="L205" s="15" t="str">
        <x:f>INDEX(Clientes!$F$2:$F$101,MATCH(C205,Clientes!$A$2:$A$101,0))</x:f>
        <x:v>PR</x:v>
      </x:c>
    </x:row>
    <x:row r="206" ht="20" customHeight="1">
      <x:c r="A206" s="13" t="str">
        <x:v>PED00205</x:v>
      </x:c>
      <x:c r="B206" s="19" t="n">
        <x:v>46058</x:v>
      </x:c>
      <x:c r="C206" s="14" t="str">
        <x:v>CLI0058</x:v>
      </x:c>
      <x:c r="D206" s="14" t="str">
        <x:f>INDEX(Clientes!$B$2:$B$101,MATCH(C206,Clientes!$A$2:$A$101,0))</x:f>
        <x:v>Igor Pereira Duarte</x:v>
      </x:c>
      <x:c r="E206" s="14" t="str">
        <x:v>PROD001</x:v>
      </x:c>
      <x:c r="F206" s="14" t="str">
        <x:f>INDEX(Produtos!$B$2:$B$11,MATCH(E206,Produtos!$A$2:$A$11,0))</x:f>
        <x:v>Caderno Universitário</x:v>
      </x:c>
      <x:c r="G206" s="18" t="n">
        <x:v>7</x:v>
      </x:c>
      <x:c r="H206" s="17" t="n">
        <x:f>INDEX(Produtos!$D$2:$D$11,MATCH(E206,Produtos!$A$2:$A$11,0))</x:f>
        <x:v>24.9</x:v>
      </x:c>
      <x:c r="I206" s="17" t="n">
        <x:f>G206*H206</x:f>
        <x:v>174.29999999999998</x:v>
      </x:c>
      <x:c r="J206" s="14" t="str">
        <x:v>Cartão de crédito</x:v>
      </x:c>
      <x:c r="K206" s="14" t="str">
        <x:v>Entregue</x:v>
      </x:c>
      <x:c r="L206" s="15" t="str">
        <x:f>INDEX(Clientes!$F$2:$F$101,MATCH(C206,Clientes!$A$2:$A$101,0))</x:f>
        <x:v>MG</x:v>
      </x:c>
    </x:row>
    <x:row r="207" ht="20" customHeight="1">
      <x:c r="A207" s="13" t="str">
        <x:v>PED00206</x:v>
      </x:c>
      <x:c r="B207" s="19" t="n">
        <x:v>46274</x:v>
      </x:c>
      <x:c r="C207" s="14" t="str">
        <x:v>CLI0036</x:v>
      </x:c>
      <x:c r="D207" s="14" t="str">
        <x:f>INDEX(Clientes!$B$2:$B$101,MATCH(C207,Clientes!$A$2:$A$101,0))</x:f>
        <x:v>Enzo Teixeira Machado</x:v>
      </x:c>
      <x:c r="E207" s="14" t="str">
        <x:v>PROD003</x:v>
      </x:c>
      <x:c r="F207" s="14" t="str">
        <x:f>INDEX(Produtos!$B$2:$B$11,MATCH(E207,Produtos!$A$2:$A$11,0))</x:f>
        <x:v>Fone Bluetooth</x:v>
      </x:c>
      <x:c r="G207" s="18" t="n">
        <x:v>5</x:v>
      </x:c>
      <x:c r="H207" s="17" t="n">
        <x:f>INDEX(Produtos!$D$2:$D$11,MATCH(E207,Produtos!$A$2:$A$11,0))</x:f>
        <x:v>129.9</x:v>
      </x:c>
      <x:c r="I207" s="17" t="n">
        <x:f>G207*H207</x:f>
        <x:v>649.5</x:v>
      </x:c>
      <x:c r="J207" s="14" t="str">
        <x:v>Boleto</x:v>
      </x:c>
      <x:c r="K207" s="14" t="str">
        <x:v>Processando</x:v>
      </x:c>
      <x:c r="L207" s="15" t="str">
        <x:f>INDEX(Clientes!$F$2:$F$101,MATCH(C207,Clientes!$A$2:$A$101,0))</x:f>
        <x:v>SP</x:v>
      </x:c>
    </x:row>
    <x:row r="208" ht="20" customHeight="1">
      <x:c r="A208" s="13" t="str">
        <x:v>PED00207</x:v>
      </x:c>
      <x:c r="B208" s="19" t="n">
        <x:v>46199</x:v>
      </x:c>
      <x:c r="C208" s="14" t="str">
        <x:v>CLI0070</x:v>
      </x:c>
      <x:c r="D208" s="14" t="str">
        <x:f>INDEX(Clientes!$B$2:$B$101,MATCH(C208,Clientes!$A$2:$A$101,0))</x:f>
        <x:v>Bruno Rocha Barbosa</x:v>
      </x:c>
      <x:c r="E208" s="14" t="str">
        <x:v>PROD007</x:v>
      </x:c>
      <x:c r="F208" s="14" t="str">
        <x:f>INDEX(Produtos!$B$2:$B$11,MATCH(E208,Produtos!$A$2:$A$11,0))</x:f>
        <x:v>Caneca Cerâmica</x:v>
      </x:c>
      <x:c r="G208" s="18" t="n">
        <x:v>3</x:v>
      </x:c>
      <x:c r="H208" s="17" t="n">
        <x:f>INDEX(Produtos!$D$2:$D$11,MATCH(E208,Produtos!$A$2:$A$11,0))</x:f>
        <x:v>32</x:v>
      </x:c>
      <x:c r="I208" s="17" t="n">
        <x:f>G208*H208</x:f>
        <x:v>96</x:v>
      </x:c>
      <x:c r="J208" s="14" t="str">
        <x:v>Cartão de crédito</x:v>
      </x:c>
      <x:c r="K208" s="14" t="str">
        <x:v>Entregue</x:v>
      </x:c>
      <x:c r="L208" s="15" t="str">
        <x:f>INDEX(Clientes!$F$2:$F$101,MATCH(C208,Clientes!$A$2:$A$101,0))</x:f>
        <x:v>SC</x:v>
      </x:c>
    </x:row>
    <x:row r="209" ht="20" customHeight="1">
      <x:c r="A209" s="13" t="str">
        <x:v>PED00208</x:v>
      </x:c>
      <x:c r="B209" s="19" t="n">
        <x:v>46027</x:v>
      </x:c>
      <x:c r="C209" s="14" t="str">
        <x:v>CLI0096</x:v>
      </x:c>
      <x:c r="D209" s="14" t="str">
        <x:f>INDEX(Clientes!$B$2:$B$101,MATCH(C209,Clientes!$A$2:$A$101,0))</x:f>
        <x:v>Bruno Farias Henrique</x:v>
      </x:c>
      <x:c r="E209" s="14" t="str">
        <x:v>PROD001</x:v>
      </x:c>
      <x:c r="F209" s="14" t="str">
        <x:f>INDEX(Produtos!$B$2:$B$11,MATCH(E209,Produtos!$A$2:$A$11,0))</x:f>
        <x:v>Caderno Universitário</x:v>
      </x:c>
      <x:c r="G209" s="18" t="n">
        <x:v>1</x:v>
      </x:c>
      <x:c r="H209" s="17" t="n">
        <x:f>INDEX(Produtos!$D$2:$D$11,MATCH(E209,Produtos!$A$2:$A$11,0))</x:f>
        <x:v>24.9</x:v>
      </x:c>
      <x:c r="I209" s="17" t="n">
        <x:f>G209*H209</x:f>
        <x:v>24.9</x:v>
      </x:c>
      <x:c r="J209" s="14" t="str">
        <x:v>Boleto</x:v>
      </x:c>
      <x:c r="K209" s="14" t="str">
        <x:v>Processando</x:v>
      </x:c>
      <x:c r="L209" s="15" t="str">
        <x:f>INDEX(Clientes!$F$2:$F$101,MATCH(C209,Clientes!$A$2:$A$101,0))</x:f>
        <x:v>MG</x:v>
      </x:c>
    </x:row>
    <x:row r="210" ht="20" customHeight="1">
      <x:c r="A210" s="13" t="str">
        <x:v>PED00209</x:v>
      </x:c>
      <x:c r="B210" s="19" t="n">
        <x:v>46211</x:v>
      </x:c>
      <x:c r="C210" s="14" t="str">
        <x:v>CLI0062</x:v>
      </x:c>
      <x:c r="D210" s="14" t="str">
        <x:f>INDEX(Clientes!$B$2:$B$101,MATCH(C210,Clientes!$A$2:$A$101,0))</x:f>
        <x:v>Enzo Pereira Duarte</x:v>
      </x:c>
      <x:c r="E210" s="14" t="str">
        <x:v>PROD003</x:v>
      </x:c>
      <x:c r="F210" s="14" t="str">
        <x:f>INDEX(Produtos!$B$2:$B$11,MATCH(E210,Produtos!$A$2:$A$11,0))</x:f>
        <x:v>Fone Bluetooth</x:v>
      </x:c>
      <x:c r="G210" s="18" t="n">
        <x:v>7</x:v>
      </x:c>
      <x:c r="H210" s="17" t="n">
        <x:f>INDEX(Produtos!$D$2:$D$11,MATCH(E210,Produtos!$A$2:$A$11,0))</x:f>
        <x:v>129.9</x:v>
      </x:c>
      <x:c r="I210" s="17" t="n">
        <x:f>G210*H210</x:f>
        <x:v>909.3000000000001</x:v>
      </x:c>
      <x:c r="J210" s="14" t="str">
        <x:v>Cartão de crédito</x:v>
      </x:c>
      <x:c r="K210" s="14" t="str">
        <x:v>Entregue</x:v>
      </x:c>
      <x:c r="L210" s="15" t="str">
        <x:f>INDEX(Clientes!$F$2:$F$101,MATCH(C210,Clientes!$A$2:$A$101,0))</x:f>
        <x:v>SC</x:v>
      </x:c>
    </x:row>
    <x:row r="211" ht="20" customHeight="1">
      <x:c r="A211" s="13" t="str">
        <x:v>PED00210</x:v>
      </x:c>
      <x:c r="B211" s="19" t="n">
        <x:v>46243</x:v>
      </x:c>
      <x:c r="C211" s="14" t="str">
        <x:v>CLI0004</x:v>
      </x:c>
      <x:c r="D211" s="14" t="str">
        <x:f>INDEX(Clientes!$B$2:$B$101,MATCH(C211,Clientes!$A$2:$A$101,0))</x:f>
        <x:v>Enzo Ibrahim Queiroz</x:v>
      </x:c>
      <x:c r="E211" s="14" t="str">
        <x:v>PROD009</x:v>
      </x:c>
      <x:c r="F211" s="14" t="str">
        <x:f>INDEX(Produtos!$B$2:$B$11,MATCH(E211,Produtos!$A$2:$A$11,0))</x:f>
        <x:v>Carregador USB-C</x:v>
      </x:c>
      <x:c r="G211" s="18" t="n">
        <x:v>5</x:v>
      </x:c>
      <x:c r="H211" s="17" t="n">
        <x:f>INDEX(Produtos!$D$2:$D$11,MATCH(E211,Produtos!$A$2:$A$11,0))</x:f>
        <x:v>59.9</x:v>
      </x:c>
      <x:c r="I211" s="17" t="n">
        <x:f>G211*H211</x:f>
        <x:v>299.5</x:v>
      </x:c>
      <x:c r="J211" s="14" t="str">
        <x:v>Boleto</x:v>
      </x:c>
      <x:c r="K211" s="14" t="str">
        <x:v>Processando</x:v>
      </x:c>
      <x:c r="L211" s="15" t="str">
        <x:f>INDEX(Clientes!$F$2:$F$101,MATCH(C211,Clientes!$A$2:$A$101,0))</x:f>
        <x:v>SP</x:v>
      </x:c>
    </x:row>
    <x:row r="212" ht="20" customHeight="1">
      <x:c r="A212" s="13" t="str">
        <x:v>PED00211</x:v>
      </x:c>
      <x:c r="B212" s="19" t="n">
        <x:v>46280</x:v>
      </x:c>
      <x:c r="C212" s="14" t="str">
        <x:v>CLI0010</x:v>
      </x:c>
      <x:c r="D212" s="14" t="str">
        <x:f>INDEX(Clientes!$B$2:$B$101,MATCH(C212,Clientes!$A$2:$A$101,0))</x:f>
        <x:v>Samuel Almeida Henrique</x:v>
      </x:c>
      <x:c r="E212" s="14" t="str">
        <x:v>PROD009</x:v>
      </x:c>
      <x:c r="F212" s="14" t="str">
        <x:f>INDEX(Produtos!$B$2:$B$11,MATCH(E212,Produtos!$A$2:$A$11,0))</x:f>
        <x:v>Carregador USB-C</x:v>
      </x:c>
      <x:c r="G212" s="18" t="n">
        <x:v>3</x:v>
      </x:c>
      <x:c r="H212" s="17" t="n">
        <x:f>INDEX(Produtos!$D$2:$D$11,MATCH(E212,Produtos!$A$2:$A$11,0))</x:f>
        <x:v>59.9</x:v>
      </x:c>
      <x:c r="I212" s="17" t="n">
        <x:f>G212*H212</x:f>
        <x:v>179.7</x:v>
      </x:c>
      <x:c r="J212" s="14" t="str">
        <x:v>Cartão de crédito</x:v>
      </x:c>
      <x:c r="K212" s="14" t="str">
        <x:v>Entregue</x:v>
      </x:c>
      <x:c r="L212" s="15" t="str">
        <x:f>INDEX(Clientes!$F$2:$F$101,MATCH(C212,Clientes!$A$2:$A$101,0))</x:f>
        <x:v>PR</x:v>
      </x:c>
    </x:row>
    <x:row r="213" ht="20" customHeight="1">
      <x:c r="A213" s="13" t="str">
        <x:v>PED00212</x:v>
      </x:c>
      <x:c r="B213" s="19" t="n">
        <x:v>46204</x:v>
      </x:c>
      <x:c r="C213" s="14" t="str">
        <x:v>CLI0080</x:v>
      </x:c>
      <x:c r="D213" s="14" t="str">
        <x:f>INDEX(Clientes!$B$2:$B$101,MATCH(C213,Clientes!$A$2:$A$101,0))</x:f>
        <x:v>Caio Nascimento Vargas</x:v>
      </x:c>
      <x:c r="E213" s="14" t="str">
        <x:v>PROD007</x:v>
      </x:c>
      <x:c r="F213" s="14" t="str">
        <x:f>INDEX(Produtos!$B$2:$B$11,MATCH(E213,Produtos!$A$2:$A$11,0))</x:f>
        <x:v>Caneca Cerâmica</x:v>
      </x:c>
      <x:c r="G213" s="18" t="n">
        <x:v>1</x:v>
      </x:c>
      <x:c r="H213" s="17" t="n">
        <x:f>INDEX(Produtos!$D$2:$D$11,MATCH(E213,Produtos!$A$2:$A$11,0))</x:f>
        <x:v>32</x:v>
      </x:c>
      <x:c r="I213" s="17" t="n">
        <x:f>G213*H213</x:f>
        <x:v>32</x:v>
      </x:c>
      <x:c r="J213" s="14" t="str">
        <x:v>Boleto</x:v>
      </x:c>
      <x:c r="K213" s="14" t="str">
        <x:v>Processando</x:v>
      </x:c>
      <x:c r="L213" s="15" t="str">
        <x:f>INDEX(Clientes!$F$2:$F$101,MATCH(C213,Clientes!$A$2:$A$101,0))</x:f>
        <x:v>SC</x:v>
      </x:c>
    </x:row>
    <x:row r="214" ht="20" customHeight="1">
      <x:c r="A214" s="13" t="str">
        <x:v>PED00213</x:v>
      </x:c>
      <x:c r="B214" s="19" t="n">
        <x:v>46184</x:v>
      </x:c>
      <x:c r="C214" s="14" t="str">
        <x:v>CLI0042</x:v>
      </x:c>
      <x:c r="D214" s="14" t="str">
        <x:f>INDEX(Clientes!$B$2:$B$101,MATCH(C214,Clientes!$A$2:$A$101,0))</x:f>
        <x:v>João Rocha Batista</x:v>
      </x:c>
      <x:c r="E214" s="14" t="str">
        <x:v>PROD005</x:v>
      </x:c>
      <x:c r="F214" s="14" t="str">
        <x:f>INDEX(Produtos!$B$2:$B$11,MATCH(E214,Produtos!$A$2:$A$11,0))</x:f>
        <x:v>Luminária de Mesa LED</x:v>
      </x:c>
      <x:c r="G214" s="18" t="n">
        <x:v>7</x:v>
      </x:c>
      <x:c r="H214" s="17" t="n">
        <x:f>INDEX(Produtos!$D$2:$D$11,MATCH(E214,Produtos!$A$2:$A$11,0))</x:f>
        <x:v>89.5</x:v>
      </x:c>
      <x:c r="I214" s="17" t="n">
        <x:f>G214*H214</x:f>
        <x:v>626.5</x:v>
      </x:c>
      <x:c r="J214" s="14" t="str">
        <x:v>Cartão de crédito</x:v>
      </x:c>
      <x:c r="K214" s="14" t="str">
        <x:v>Entregue</x:v>
      </x:c>
      <x:c r="L214" s="15" t="str">
        <x:f>INDEX(Clientes!$F$2:$F$101,MATCH(C214,Clientes!$A$2:$A$101,0))</x:f>
        <x:v>PR</x:v>
      </x:c>
    </x:row>
    <x:row r="215" ht="20" customHeight="1">
      <x:c r="A215" s="13" t="str">
        <x:v>PED00214</x:v>
      </x:c>
      <x:c r="B215" s="19" t="n">
        <x:v>46217</x:v>
      </x:c>
      <x:c r="C215" s="14" t="str">
        <x:v>CLI0048</x:v>
      </x:c>
      <x:c r="D215" s="14" t="str">
        <x:f>INDEX(Clientes!$B$2:$B$101,MATCH(C215,Clientes!$A$2:$A$101,0))</x:f>
        <x:v>Daniel Nascimento Barbosa</x:v>
      </x:c>
      <x:c r="E215" s="14" t="str">
        <x:v>PROD003</x:v>
      </x:c>
      <x:c r="F215" s="14" t="str">
        <x:f>INDEX(Produtos!$B$2:$B$11,MATCH(E215,Produtos!$A$2:$A$11,0))</x:f>
        <x:v>Fone Bluetooth</x:v>
      </x:c>
      <x:c r="G215" s="18" t="n">
        <x:v>5</x:v>
      </x:c>
      <x:c r="H215" s="17" t="n">
        <x:f>INDEX(Produtos!$D$2:$D$11,MATCH(E215,Produtos!$A$2:$A$11,0))</x:f>
        <x:v>129.9</x:v>
      </x:c>
      <x:c r="I215" s="17" t="n">
        <x:f>G215*H215</x:f>
        <x:v>649.5</x:v>
      </x:c>
      <x:c r="J215" s="14" t="str">
        <x:v>Boleto</x:v>
      </x:c>
      <x:c r="K215" s="14" t="str">
        <x:v>Processando</x:v>
      </x:c>
      <x:c r="L215" s="15" t="str">
        <x:f>INDEX(Clientes!$F$2:$F$101,MATCH(C215,Clientes!$A$2:$A$101,0))</x:f>
        <x:v>SP</x:v>
      </x:c>
    </x:row>
    <x:row r="216" ht="20" customHeight="1">
      <x:c r="A216" s="13" t="str">
        <x:v>PED00215</x:v>
      </x:c>
      <x:c r="B216" s="19" t="n">
        <x:v>46079</x:v>
      </x:c>
      <x:c r="C216" s="14" t="str">
        <x:v>CLI0082</x:v>
      </x:c>
      <x:c r="D216" s="14" t="str">
        <x:f>INDEX(Clientes!$B$2:$B$101,MATCH(C216,Clientes!$A$2:$A$101,0))</x:f>
        <x:v>Bruno Esteves Barbosa</x:v>
      </x:c>
      <x:c r="E216" s="14" t="str">
        <x:v>PROD003</x:v>
      </x:c>
      <x:c r="F216" s="14" t="str">
        <x:f>INDEX(Produtos!$B$2:$B$11,MATCH(E216,Produtos!$A$2:$A$11,0))</x:f>
        <x:v>Fone Bluetooth</x:v>
      </x:c>
      <x:c r="G216" s="18" t="n">
        <x:v>3</x:v>
      </x:c>
      <x:c r="H216" s="17" t="n">
        <x:f>INDEX(Produtos!$D$2:$D$11,MATCH(E216,Produtos!$A$2:$A$11,0))</x:f>
        <x:v>129.9</x:v>
      </x:c>
      <x:c r="I216" s="17" t="n">
        <x:f>G216*H216</x:f>
        <x:v>389.70000000000005</x:v>
      </x:c>
      <x:c r="J216" s="14" t="str">
        <x:v>Cartão de crédito</x:v>
      </x:c>
      <x:c r="K216" s="14" t="str">
        <x:v>Entregue</x:v>
      </x:c>
      <x:c r="L216" s="15" t="str">
        <x:f>INDEX(Clientes!$F$2:$F$101,MATCH(C216,Clientes!$A$2:$A$101,0))</x:f>
        <x:v>SC</x:v>
      </x:c>
    </x:row>
    <x:row r="217" ht="20" customHeight="1">
      <x:c r="A217" s="13" t="str">
        <x:v>PED00216</x:v>
      </x:c>
      <x:c r="B217" s="19" t="n">
        <x:v>46291</x:v>
      </x:c>
      <x:c r="C217" s="14" t="str">
        <x:v>CLI0088</x:v>
      </x:c>
      <x:c r="D217" s="14" t="str">
        <x:f>INDEX(Clientes!$B$2:$B$101,MATCH(C217,Clientes!$A$2:$A$101,0))</x:f>
        <x:v>Samuel Rocha Ferreira</x:v>
      </x:c>
      <x:c r="E217" s="14" t="str">
        <x:v>PROD003</x:v>
      </x:c>
      <x:c r="F217" s="14" t="str">
        <x:f>INDEX(Produtos!$B$2:$B$11,MATCH(E217,Produtos!$A$2:$A$11,0))</x:f>
        <x:v>Fone Bluetooth</x:v>
      </x:c>
      <x:c r="G217" s="18" t="n">
        <x:v>1</x:v>
      </x:c>
      <x:c r="H217" s="17" t="n">
        <x:f>INDEX(Produtos!$D$2:$D$11,MATCH(E217,Produtos!$A$2:$A$11,0))</x:f>
        <x:v>129.9</x:v>
      </x:c>
      <x:c r="I217" s="17" t="n">
        <x:f>G217*H217</x:f>
        <x:v>129.9</x:v>
      </x:c>
      <x:c r="J217" s="14" t="str">
        <x:v>Boleto</x:v>
      </x:c>
      <x:c r="K217" s="14" t="str">
        <x:v>Processando</x:v>
      </x:c>
      <x:c r="L217" s="15" t="str">
        <x:f>INDEX(Clientes!$F$2:$F$101,MATCH(C217,Clientes!$A$2:$A$101,0))</x:f>
        <x:v>MG</x:v>
      </x:c>
    </x:row>
    <x:row r="218" ht="20" customHeight="1">
      <x:c r="A218" s="13" t="str">
        <x:v>PED00217</x:v>
      </x:c>
      <x:c r="B218" s="19" t="n">
        <x:v>46025</x:v>
      </x:c>
      <x:c r="C218" s="14" t="str">
        <x:v>CLI0098</x:v>
      </x:c>
      <x:c r="D218" s="14" t="str">
        <x:f>INDEX(Clientes!$B$2:$B$101,MATCH(C218,Clientes!$A$2:$A$101,0))</x:f>
        <x:v>Pedro Lopes Vargas</x:v>
      </x:c>
      <x:c r="E218" s="14" t="str">
        <x:v>PROD005</x:v>
      </x:c>
      <x:c r="F218" s="14" t="str">
        <x:f>INDEX(Produtos!$B$2:$B$11,MATCH(E218,Produtos!$A$2:$A$11,0))</x:f>
        <x:v>Luminária de Mesa LED</x:v>
      </x:c>
      <x:c r="G218" s="18" t="n">
        <x:v>7</x:v>
      </x:c>
      <x:c r="H218" s="17" t="n">
        <x:f>INDEX(Produtos!$D$2:$D$11,MATCH(E218,Produtos!$A$2:$A$11,0))</x:f>
        <x:v>89.5</x:v>
      </x:c>
      <x:c r="I218" s="17" t="n">
        <x:f>G218*H218</x:f>
        <x:v>626.5</x:v>
      </x:c>
      <x:c r="J218" s="14" t="str">
        <x:v>Cartão de crédito</x:v>
      </x:c>
      <x:c r="K218" s="14" t="str">
        <x:v>Entregue</x:v>
      </x:c>
      <x:c r="L218" s="15" t="str">
        <x:f>INDEX(Clientes!$F$2:$F$101,MATCH(C218,Clientes!$A$2:$A$101,0))</x:f>
        <x:v>BA</x:v>
      </x:c>
    </x:row>
    <x:row r="219" ht="20" customHeight="1">
      <x:c r="A219" s="13" t="str">
        <x:v>PED00218</x:v>
      </x:c>
      <x:c r="B219" s="19" t="n">
        <x:v>46212</x:v>
      </x:c>
      <x:c r="C219" s="14" t="str">
        <x:v>CLI0100</x:v>
      </x:c>
      <x:c r="D219" s="14" t="str">
        <x:f>INDEX(Clientes!$B$2:$B$101,MATCH(C219,Clientes!$A$2:$A$101,0))</x:f>
        <x:v>Igor Ramos Silva</x:v>
      </x:c>
      <x:c r="E219" s="14" t="str">
        <x:v>PROD003</x:v>
      </x:c>
      <x:c r="F219" s="14" t="str">
        <x:f>INDEX(Produtos!$B$2:$B$11,MATCH(E219,Produtos!$A$2:$A$11,0))</x:f>
        <x:v>Fone Bluetooth</x:v>
      </x:c>
      <x:c r="G219" s="18" t="n">
        <x:v>5</x:v>
      </x:c>
      <x:c r="H219" s="17" t="n">
        <x:f>INDEX(Produtos!$D$2:$D$11,MATCH(E219,Produtos!$A$2:$A$11,0))</x:f>
        <x:v>129.9</x:v>
      </x:c>
      <x:c r="I219" s="17" t="n">
        <x:f>G219*H219</x:f>
        <x:v>649.5</x:v>
      </x:c>
      <x:c r="J219" s="14" t="str">
        <x:v>Boleto</x:v>
      </x:c>
      <x:c r="K219" s="14" t="str">
        <x:v>Processando</x:v>
      </x:c>
      <x:c r="L219" s="15" t="str">
        <x:f>INDEX(Clientes!$F$2:$F$101,MATCH(C219,Clientes!$A$2:$A$101,0))</x:f>
        <x:v>SP</x:v>
      </x:c>
    </x:row>
    <x:row r="220" ht="20" customHeight="1">
      <x:c r="A220" s="13" t="str">
        <x:v>PED00219</x:v>
      </x:c>
      <x:c r="B220" s="19" t="n">
        <x:v>46196</x:v>
      </x:c>
      <x:c r="C220" s="14" t="str">
        <x:v>CLI0010</x:v>
      </x:c>
      <x:c r="D220" s="14" t="str">
        <x:f>INDEX(Clientes!$B$2:$B$101,MATCH(C220,Clientes!$A$2:$A$101,0))</x:f>
        <x:v>Samuel Almeida Henrique</x:v>
      </x:c>
      <x:c r="E220" s="14" t="str">
        <x:v>PROD003</x:v>
      </x:c>
      <x:c r="F220" s="14" t="str">
        <x:f>INDEX(Produtos!$B$2:$B$11,MATCH(E220,Produtos!$A$2:$A$11,0))</x:f>
        <x:v>Fone Bluetooth</x:v>
      </x:c>
      <x:c r="G220" s="18" t="n">
        <x:v>3</x:v>
      </x:c>
      <x:c r="H220" s="17" t="n">
        <x:f>INDEX(Produtos!$D$2:$D$11,MATCH(E220,Produtos!$A$2:$A$11,0))</x:f>
        <x:v>129.9</x:v>
      </x:c>
      <x:c r="I220" s="17" t="n">
        <x:f>G220*H220</x:f>
        <x:v>389.70000000000005</x:v>
      </x:c>
      <x:c r="J220" s="14" t="str">
        <x:v>Cartão de crédito</x:v>
      </x:c>
      <x:c r="K220" s="14" t="str">
        <x:v>Entregue</x:v>
      </x:c>
      <x:c r="L220" s="15" t="str">
        <x:f>INDEX(Clientes!$F$2:$F$101,MATCH(C220,Clientes!$A$2:$A$101,0))</x:f>
        <x:v>PR</x:v>
      </x:c>
    </x:row>
    <x:row r="221" ht="20" customHeight="1">
      <x:c r="A221" s="13" t="str">
        <x:v>PED00220</x:v>
      </x:c>
      <x:c r="B221" s="19" t="n">
        <x:v>46116</x:v>
      </x:c>
      <x:c r="C221" s="14" t="str">
        <x:v>CLI0008</x:v>
      </x:c>
      <x:c r="D221" s="14" t="str">
        <x:f>INDEX(Clientes!$B$2:$B$101,MATCH(C221,Clientes!$A$2:$A$101,0))</x:f>
        <x:v>Enzo Esteves Junqueira</x:v>
      </x:c>
      <x:c r="E221" s="14" t="str">
        <x:v>PROD007</x:v>
      </x:c>
      <x:c r="F221" s="14" t="str">
        <x:f>INDEX(Produtos!$B$2:$B$11,MATCH(E221,Produtos!$A$2:$A$11,0))</x:f>
        <x:v>Caneca Cerâmica</x:v>
      </x:c>
      <x:c r="G221" s="18" t="n">
        <x:v>1</x:v>
      </x:c>
      <x:c r="H221" s="17" t="n">
        <x:f>INDEX(Produtos!$D$2:$D$11,MATCH(E221,Produtos!$A$2:$A$11,0))</x:f>
        <x:v>32</x:v>
      </x:c>
      <x:c r="I221" s="17" t="n">
        <x:f>G221*H221</x:f>
        <x:v>32</x:v>
      </x:c>
      <x:c r="J221" s="14" t="str">
        <x:v>Boleto</x:v>
      </x:c>
      <x:c r="K221" s="14" t="str">
        <x:v>Processando</x:v>
      </x:c>
      <x:c r="L221" s="15" t="str">
        <x:f>INDEX(Clientes!$F$2:$F$101,MATCH(C221,Clientes!$A$2:$A$101,0))</x:f>
        <x:v>PR</x:v>
      </x:c>
    </x:row>
    <x:row r="222" ht="20" customHeight="1">
      <x:c r="A222" s="13" t="str">
        <x:v>PED00221</x:v>
      </x:c>
      <x:c r="B222" s="19" t="n">
        <x:v>46131</x:v>
      </x:c>
      <x:c r="C222" s="14" t="str">
        <x:v>CLI0090</x:v>
      </x:c>
      <x:c r="D222" s="14" t="str">
        <x:f>INDEX(Clientes!$B$2:$B$101,MATCH(C222,Clientes!$A$2:$A$101,0))</x:f>
        <x:v>Bruno Pereira Silva</x:v>
      </x:c>
      <x:c r="E222" s="14" t="str">
        <x:v>PROD001</x:v>
      </x:c>
      <x:c r="F222" s="14" t="str">
        <x:f>INDEX(Produtos!$B$2:$B$11,MATCH(E222,Produtos!$A$2:$A$11,0))</x:f>
        <x:v>Caderno Universitário</x:v>
      </x:c>
      <x:c r="G222" s="18" t="n">
        <x:v>7</x:v>
      </x:c>
      <x:c r="H222" s="17" t="n">
        <x:f>INDEX(Produtos!$D$2:$D$11,MATCH(E222,Produtos!$A$2:$A$11,0))</x:f>
        <x:v>24.9</x:v>
      </x:c>
      <x:c r="I222" s="17" t="n">
        <x:f>G222*H222</x:f>
        <x:v>174.29999999999998</x:v>
      </x:c>
      <x:c r="J222" s="14" t="str">
        <x:v>Cartão de crédito</x:v>
      </x:c>
      <x:c r="K222" s="14" t="str">
        <x:v>Entregue</x:v>
      </x:c>
      <x:c r="L222" s="15" t="str">
        <x:f>INDEX(Clientes!$F$2:$F$101,MATCH(C222,Clientes!$A$2:$A$101,0))</x:f>
        <x:v>BA</x:v>
      </x:c>
    </x:row>
    <x:row r="223" ht="20" customHeight="1">
      <x:c r="A223" s="13" t="str">
        <x:v>PED00222</x:v>
      </x:c>
      <x:c r="B223" s="19" t="n">
        <x:v>46180</x:v>
      </x:c>
      <x:c r="C223" s="14" t="str">
        <x:v>CLI0056</x:v>
      </x:c>
      <x:c r="D223" s="14" t="str">
        <x:f>INDEX(Clientes!$B$2:$B$101,MATCH(C223,Clientes!$A$2:$A$101,0))</x:f>
        <x:v>Gustavo Andrade Souza</x:v>
      </x:c>
      <x:c r="E223" s="14" t="str">
        <x:v>PROD007</x:v>
      </x:c>
      <x:c r="F223" s="14" t="str">
        <x:f>INDEX(Produtos!$B$2:$B$11,MATCH(E223,Produtos!$A$2:$A$11,0))</x:f>
        <x:v>Caneca Cerâmica</x:v>
      </x:c>
      <x:c r="G223" s="18" t="n">
        <x:v>5</x:v>
      </x:c>
      <x:c r="H223" s="17" t="n">
        <x:f>INDEX(Produtos!$D$2:$D$11,MATCH(E223,Produtos!$A$2:$A$11,0))</x:f>
        <x:v>32</x:v>
      </x:c>
      <x:c r="I223" s="17" t="n">
        <x:f>G223*H223</x:f>
        <x:v>160</x:v>
      </x:c>
      <x:c r="J223" s="14" t="str">
        <x:v>Boleto</x:v>
      </x:c>
      <x:c r="K223" s="14" t="str">
        <x:v>Processando</x:v>
      </x:c>
      <x:c r="L223" s="15" t="str">
        <x:f>INDEX(Clientes!$F$2:$F$101,MATCH(C223,Clientes!$A$2:$A$101,0))</x:f>
        <x:v>PR</x:v>
      </x:c>
    </x:row>
    <x:row r="224" ht="20" customHeight="1">
      <x:c r="A224" s="13" t="str">
        <x:v>PED00223</x:v>
      </x:c>
      <x:c r="B224" s="19" t="n">
        <x:v>46036</x:v>
      </x:c>
      <x:c r="C224" s="14" t="str">
        <x:v>CLI0018</x:v>
      </x:c>
      <x:c r="D224" s="14" t="str">
        <x:f>INDEX(Clientes!$B$2:$B$101,MATCH(C224,Clientes!$A$2:$A$101,0))</x:f>
        <x:v>Bruno Cardoso Dias</x:v>
      </x:c>
      <x:c r="E224" s="14" t="str">
        <x:v>PROD003</x:v>
      </x:c>
      <x:c r="F224" s="14" t="str">
        <x:f>INDEX(Produtos!$B$2:$B$11,MATCH(E224,Produtos!$A$2:$A$11,0))</x:f>
        <x:v>Fone Bluetooth</x:v>
      </x:c>
      <x:c r="G224" s="18" t="n">
        <x:v>3</x:v>
      </x:c>
      <x:c r="H224" s="17" t="n">
        <x:f>INDEX(Produtos!$D$2:$D$11,MATCH(E224,Produtos!$A$2:$A$11,0))</x:f>
        <x:v>129.9</x:v>
      </x:c>
      <x:c r="I224" s="17" t="n">
        <x:f>G224*H224</x:f>
        <x:v>389.70000000000005</x:v>
      </x:c>
      <x:c r="J224" s="14" t="str">
        <x:v>Cartão de crédito</x:v>
      </x:c>
      <x:c r="K224" s="14" t="str">
        <x:v>Entregue</x:v>
      </x:c>
      <x:c r="L224" s="15" t="str">
        <x:f>INDEX(Clientes!$F$2:$F$101,MATCH(C224,Clientes!$A$2:$A$101,0))</x:f>
        <x:v>BA</x:v>
      </x:c>
    </x:row>
    <x:row r="225" ht="20" customHeight="1">
      <x:c r="A225" s="13" t="str">
        <x:v>PED00224</x:v>
      </x:c>
      <x:c r="B225" s="19" t="n">
        <x:v>46247</x:v>
      </x:c>
      <x:c r="C225" s="14" t="str">
        <x:v>CLI0020</x:v>
      </x:c>
      <x:c r="D225" s="14" t="str">
        <x:f>INDEX(Clientes!$B$2:$B$101,MATCH(C225,Clientes!$A$2:$A$101,0))</x:f>
        <x:v>João Esteves Garcia</x:v>
      </x:c>
      <x:c r="E225" s="14" t="str">
        <x:v>PROD009</x:v>
      </x:c>
      <x:c r="F225" s="14" t="str">
        <x:f>INDEX(Produtos!$B$2:$B$11,MATCH(E225,Produtos!$A$2:$A$11,0))</x:f>
        <x:v>Carregador USB-C</x:v>
      </x:c>
      <x:c r="G225" s="18" t="n">
        <x:v>1</x:v>
      </x:c>
      <x:c r="H225" s="17" t="n">
        <x:f>INDEX(Produtos!$D$2:$D$11,MATCH(E225,Produtos!$A$2:$A$11,0))</x:f>
        <x:v>59.9</x:v>
      </x:c>
      <x:c r="I225" s="17" t="n">
        <x:f>G225*H225</x:f>
        <x:v>59.9</x:v>
      </x:c>
      <x:c r="J225" s="14" t="str">
        <x:v>Boleto</x:v>
      </x:c>
      <x:c r="K225" s="14" t="str">
        <x:v>Processando</x:v>
      </x:c>
      <x:c r="L225" s="15" t="str">
        <x:f>INDEX(Clientes!$F$2:$F$101,MATCH(C225,Clientes!$A$2:$A$101,0))</x:f>
        <x:v>MG</x:v>
      </x:c>
    </x:row>
    <x:row r="226" ht="20" customHeight="1">
      <x:c r="A226" s="13" t="str">
        <x:v>PED00225</x:v>
      </x:c>
      <x:c r="B226" s="19" t="n">
        <x:v>46115</x:v>
      </x:c>
      <x:c r="C226" s="14" t="str">
        <x:v>CLI0066</x:v>
      </x:c>
      <x:c r="D226" s="14" t="str">
        <x:f>INDEX(Clientes!$B$2:$B$101,MATCH(C226,Clientes!$A$2:$A$101,0))</x:f>
        <x:v>Enzo Farias Barbosa</x:v>
      </x:c>
      <x:c r="E226" s="14" t="str">
        <x:v>PROD005</x:v>
      </x:c>
      <x:c r="F226" s="14" t="str">
        <x:f>INDEX(Produtos!$B$2:$B$11,MATCH(E226,Produtos!$A$2:$A$11,0))</x:f>
        <x:v>Luminária de Mesa LED</x:v>
      </x:c>
      <x:c r="G226" s="18" t="n">
        <x:v>7</x:v>
      </x:c>
      <x:c r="H226" s="17" t="n">
        <x:f>INDEX(Produtos!$D$2:$D$11,MATCH(E226,Produtos!$A$2:$A$11,0))</x:f>
        <x:v>89.5</x:v>
      </x:c>
      <x:c r="I226" s="17" t="n">
        <x:f>G226*H226</x:f>
        <x:v>626.5</x:v>
      </x:c>
      <x:c r="J226" s="14" t="str">
        <x:v>Cartão de crédito</x:v>
      </x:c>
      <x:c r="K226" s="14" t="str">
        <x:v>Entregue</x:v>
      </x:c>
      <x:c r="L226" s="15" t="str">
        <x:f>INDEX(Clientes!$F$2:$F$101,MATCH(C226,Clientes!$A$2:$A$101,0))</x:f>
        <x:v>SC</x:v>
      </x:c>
    </x:row>
    <x:row r="227" ht="20" customHeight="1">
      <x:c r="A227" s="13" t="str">
        <x:v>PED00226</x:v>
      </x:c>
      <x:c r="B227" s="19" t="n">
        <x:v>46128</x:v>
      </x:c>
      <x:c r="C227" s="14" t="str">
        <x:v>CLI0048</x:v>
      </x:c>
      <x:c r="D227" s="14" t="str">
        <x:f>INDEX(Clientes!$B$2:$B$101,MATCH(C227,Clientes!$A$2:$A$101,0))</x:f>
        <x:v>Daniel Nascimento Barbosa</x:v>
      </x:c>
      <x:c r="E227" s="14" t="str">
        <x:v>PROD007</x:v>
      </x:c>
      <x:c r="F227" s="14" t="str">
        <x:f>INDEX(Produtos!$B$2:$B$11,MATCH(E227,Produtos!$A$2:$A$11,0))</x:f>
        <x:v>Caneca Cerâmica</x:v>
      </x:c>
      <x:c r="G227" s="18" t="n">
        <x:v>5</x:v>
      </x:c>
      <x:c r="H227" s="17" t="n">
        <x:f>INDEX(Produtos!$D$2:$D$11,MATCH(E227,Produtos!$A$2:$A$11,0))</x:f>
        <x:v>32</x:v>
      </x:c>
      <x:c r="I227" s="17" t="n">
        <x:f>G227*H227</x:f>
        <x:v>160</x:v>
      </x:c>
      <x:c r="J227" s="14" t="str">
        <x:v>Boleto</x:v>
      </x:c>
      <x:c r="K227" s="14" t="str">
        <x:v>Processando</x:v>
      </x:c>
      <x:c r="L227" s="15" t="str">
        <x:f>INDEX(Clientes!$F$2:$F$101,MATCH(C227,Clientes!$A$2:$A$101,0))</x:f>
        <x:v>SP</x:v>
      </x:c>
    </x:row>
    <x:row r="228" ht="20" customHeight="1">
      <x:c r="A228" s="13" t="str">
        <x:v>PED00227</x:v>
      </x:c>
      <x:c r="B228" s="19" t="n">
        <x:v>46283</x:v>
      </x:c>
      <x:c r="C228" s="14" t="str">
        <x:v>CLI0038</x:v>
      </x:c>
      <x:c r="D228" s="14" t="str">
        <x:f>INDEX(Clientes!$B$2:$B$101,MATCH(C228,Clientes!$A$2:$A$101,0))</x:f>
        <x:v>Pedro Ramos Junqueira</x:v>
      </x:c>
      <x:c r="E228" s="14" t="str">
        <x:v>PROD009</x:v>
      </x:c>
      <x:c r="F228" s="14" t="str">
        <x:f>INDEX(Produtos!$B$2:$B$11,MATCH(E228,Produtos!$A$2:$A$11,0))</x:f>
        <x:v>Carregador USB-C</x:v>
      </x:c>
      <x:c r="G228" s="18" t="n">
        <x:v>3</x:v>
      </x:c>
      <x:c r="H228" s="17" t="n">
        <x:f>INDEX(Produtos!$D$2:$D$11,MATCH(E228,Produtos!$A$2:$A$11,0))</x:f>
        <x:v>59.9</x:v>
      </x:c>
      <x:c r="I228" s="17" t="n">
        <x:f>G228*H228</x:f>
        <x:v>179.7</x:v>
      </x:c>
      <x:c r="J228" s="14" t="str">
        <x:v>Cartão de crédito</x:v>
      </x:c>
      <x:c r="K228" s="14" t="str">
        <x:v>Entregue</x:v>
      </x:c>
      <x:c r="L228" s="15" t="str">
        <x:f>INDEX(Clientes!$F$2:$F$101,MATCH(C228,Clientes!$A$2:$A$101,0))</x:f>
        <x:v>SC</x:v>
      </x:c>
    </x:row>
    <x:row r="229" ht="20" customHeight="1">
      <x:c r="A229" s="13" t="str">
        <x:v>PED00228</x:v>
      </x:c>
      <x:c r="B229" s="19" t="n">
        <x:v>46127</x:v>
      </x:c>
      <x:c r="C229" s="14" t="str">
        <x:v>CLI0044</x:v>
      </x:c>
      <x:c r="D229" s="14" t="str">
        <x:f>INDEX(Clientes!$B$2:$B$101,MATCH(C229,Clientes!$A$2:$A$101,0))</x:f>
        <x:v>Igor Rocha Garcia</x:v>
      </x:c>
      <x:c r="E229" s="14" t="str">
        <x:v>PROD003</x:v>
      </x:c>
      <x:c r="F229" s="14" t="str">
        <x:f>INDEX(Produtos!$B$2:$B$11,MATCH(E229,Produtos!$A$2:$A$11,0))</x:f>
        <x:v>Fone Bluetooth</x:v>
      </x:c>
      <x:c r="G229" s="18" t="n">
        <x:v>1</x:v>
      </x:c>
      <x:c r="H229" s="17" t="n">
        <x:f>INDEX(Produtos!$D$2:$D$11,MATCH(E229,Produtos!$A$2:$A$11,0))</x:f>
        <x:v>129.9</x:v>
      </x:c>
      <x:c r="I229" s="17" t="n">
        <x:f>G229*H229</x:f>
        <x:v>129.9</x:v>
      </x:c>
      <x:c r="J229" s="14" t="str">
        <x:v>Boleto</x:v>
      </x:c>
      <x:c r="K229" s="14" t="str">
        <x:v>Processando</x:v>
      </x:c>
      <x:c r="L229" s="15" t="str">
        <x:f>INDEX(Clientes!$F$2:$F$101,MATCH(C229,Clientes!$A$2:$A$101,0))</x:f>
        <x:v>SC</x:v>
      </x:c>
    </x:row>
    <x:row r="230" ht="20" customHeight="1">
      <x:c r="A230" s="13" t="str">
        <x:v>PED00229</x:v>
      </x:c>
      <x:c r="B230" s="19" t="n">
        <x:v>46051</x:v>
      </x:c>
      <x:c r="C230" s="14" t="str">
        <x:v>CLI0042</x:v>
      </x:c>
      <x:c r="D230" s="14" t="str">
        <x:f>INDEX(Clientes!$B$2:$B$101,MATCH(C230,Clientes!$A$2:$A$101,0))</x:f>
        <x:v>João Rocha Batista</x:v>
      </x:c>
      <x:c r="E230" s="14" t="str">
        <x:v>PROD005</x:v>
      </x:c>
      <x:c r="F230" s="14" t="str">
        <x:f>INDEX(Produtos!$B$2:$B$11,MATCH(E230,Produtos!$A$2:$A$11,0))</x:f>
        <x:v>Luminária de Mesa LED</x:v>
      </x:c>
      <x:c r="G230" s="18" t="n">
        <x:v>7</x:v>
      </x:c>
      <x:c r="H230" s="17" t="n">
        <x:f>INDEX(Produtos!$D$2:$D$11,MATCH(E230,Produtos!$A$2:$A$11,0))</x:f>
        <x:v>89.5</x:v>
      </x:c>
      <x:c r="I230" s="17" t="n">
        <x:f>G230*H230</x:f>
        <x:v>626.5</x:v>
      </x:c>
      <x:c r="J230" s="14" t="str">
        <x:v>Cartão de crédito</x:v>
      </x:c>
      <x:c r="K230" s="14" t="str">
        <x:v>Entregue</x:v>
      </x:c>
      <x:c r="L230" s="15" t="str">
        <x:f>INDEX(Clientes!$F$2:$F$101,MATCH(C230,Clientes!$A$2:$A$101,0))</x:f>
        <x:v>PR</x:v>
      </x:c>
    </x:row>
    <x:row r="231" ht="20" customHeight="1">
      <x:c r="A231" s="13" t="str">
        <x:v>PED00230</x:v>
      </x:c>
      <x:c r="B231" s="19" t="n">
        <x:v>46219</x:v>
      </x:c>
      <x:c r="C231" s="14" t="str">
        <x:v>CLI0092</x:v>
      </x:c>
      <x:c r="D231" s="14" t="str">
        <x:f>INDEX(Clientes!$B$2:$B$101,MATCH(C231,Clientes!$A$2:$A$101,0))</x:f>
        <x:v>Henrique Ibrahim Duarte</x:v>
      </x:c>
      <x:c r="E231" s="14" t="str">
        <x:v>PROD007</x:v>
      </x:c>
      <x:c r="F231" s="14" t="str">
        <x:f>INDEX(Produtos!$B$2:$B$11,MATCH(E231,Produtos!$A$2:$A$11,0))</x:f>
        <x:v>Caneca Cerâmica</x:v>
      </x:c>
      <x:c r="G231" s="18" t="n">
        <x:v>5</x:v>
      </x:c>
      <x:c r="H231" s="17" t="n">
        <x:f>INDEX(Produtos!$D$2:$D$11,MATCH(E231,Produtos!$A$2:$A$11,0))</x:f>
        <x:v>32</x:v>
      </x:c>
      <x:c r="I231" s="17" t="n">
        <x:f>G231*H231</x:f>
        <x:v>160</x:v>
      </x:c>
      <x:c r="J231" s="14" t="str">
        <x:v>Boleto</x:v>
      </x:c>
      <x:c r="K231" s="14" t="str">
        <x:v>Processando</x:v>
      </x:c>
      <x:c r="L231" s="15" t="str">
        <x:f>INDEX(Clientes!$F$2:$F$101,MATCH(C231,Clientes!$A$2:$A$101,0))</x:f>
        <x:v>PR</x:v>
      </x:c>
    </x:row>
    <x:row r="232" ht="20" customHeight="1">
      <x:c r="A232" s="13" t="str">
        <x:v>PED00231</x:v>
      </x:c>
      <x:c r="B232" s="19" t="n">
        <x:v>46093</x:v>
      </x:c>
      <x:c r="C232" s="14" t="str">
        <x:v>CLI0026</x:v>
      </x:c>
      <x:c r="D232" s="14" t="str">
        <x:f>INDEX(Clientes!$B$2:$B$101,MATCH(C232,Clientes!$A$2:$A$101,0))</x:f>
        <x:v>Henrique Lopes Henrique</x:v>
      </x:c>
      <x:c r="E232" s="14" t="str">
        <x:v>PROD007</x:v>
      </x:c>
      <x:c r="F232" s="14" t="str">
        <x:f>INDEX(Produtos!$B$2:$B$11,MATCH(E232,Produtos!$A$2:$A$11,0))</x:f>
        <x:v>Caneca Cerâmica</x:v>
      </x:c>
      <x:c r="G232" s="18" t="n">
        <x:v>3</x:v>
      </x:c>
      <x:c r="H232" s="17" t="n">
        <x:f>INDEX(Produtos!$D$2:$D$11,MATCH(E232,Produtos!$A$2:$A$11,0))</x:f>
        <x:v>32</x:v>
      </x:c>
      <x:c r="I232" s="17" t="n">
        <x:f>G232*H232</x:f>
        <x:v>96</x:v>
      </x:c>
      <x:c r="J232" s="14" t="str">
        <x:v>Cartão de crédito</x:v>
      </x:c>
      <x:c r="K232" s="14" t="str">
        <x:v>Entregue</x:v>
      </x:c>
      <x:c r="L232" s="15" t="str">
        <x:f>INDEX(Clientes!$F$2:$F$101,MATCH(C232,Clientes!$A$2:$A$101,0))</x:f>
        <x:v>SP</x:v>
      </x:c>
    </x:row>
    <x:row r="233" ht="20" customHeight="1">
      <x:c r="A233" s="13" t="str">
        <x:v>PED00232</x:v>
      </x:c>
      <x:c r="B233" s="19" t="n">
        <x:v>46064</x:v>
      </x:c>
      <x:c r="C233" s="14" t="str">
        <x:v>CLI0080</x:v>
      </x:c>
      <x:c r="D233" s="14" t="str">
        <x:f>INDEX(Clientes!$B$2:$B$101,MATCH(C233,Clientes!$A$2:$A$101,0))</x:f>
        <x:v>Caio Nascimento Vargas</x:v>
      </x:c>
      <x:c r="E233" s="14" t="str">
        <x:v>PROD005</x:v>
      </x:c>
      <x:c r="F233" s="14" t="str">
        <x:f>INDEX(Produtos!$B$2:$B$11,MATCH(E233,Produtos!$A$2:$A$11,0))</x:f>
        <x:v>Luminária de Mesa LED</x:v>
      </x:c>
      <x:c r="G233" s="18" t="n">
        <x:v>1</x:v>
      </x:c>
      <x:c r="H233" s="17" t="n">
        <x:f>INDEX(Produtos!$D$2:$D$11,MATCH(E233,Produtos!$A$2:$A$11,0))</x:f>
        <x:v>89.5</x:v>
      </x:c>
      <x:c r="I233" s="17" t="n">
        <x:f>G233*H233</x:f>
        <x:v>89.5</x:v>
      </x:c>
      <x:c r="J233" s="14" t="str">
        <x:v>Boleto</x:v>
      </x:c>
      <x:c r="K233" s="14" t="str">
        <x:v>Processando</x:v>
      </x:c>
      <x:c r="L233" s="15" t="str">
        <x:f>INDEX(Clientes!$F$2:$F$101,MATCH(C233,Clientes!$A$2:$A$101,0))</x:f>
        <x:v>SC</x:v>
      </x:c>
    </x:row>
    <x:row r="234" ht="20" customHeight="1">
      <x:c r="A234" s="13" t="str">
        <x:v>PED00233</x:v>
      </x:c>
      <x:c r="B234" s="19" t="n">
        <x:v>46072</x:v>
      </x:c>
      <x:c r="C234" s="14" t="str">
        <x:v>CLI0054</x:v>
      </x:c>
      <x:c r="D234" s="14" t="str">
        <x:f>INDEX(Clientes!$B$2:$B$101,MATCH(C234,Clientes!$A$2:$A$101,0))</x:f>
        <x:v>Lucas Farias Ferreira</x:v>
      </x:c>
      <x:c r="E234" s="14" t="str">
        <x:v>PROD009</x:v>
      </x:c>
      <x:c r="F234" s="14" t="str">
        <x:f>INDEX(Produtos!$B$2:$B$11,MATCH(E234,Produtos!$A$2:$A$11,0))</x:f>
        <x:v>Carregador USB-C</x:v>
      </x:c>
      <x:c r="G234" s="18" t="n">
        <x:v>7</x:v>
      </x:c>
      <x:c r="H234" s="17" t="n">
        <x:f>INDEX(Produtos!$D$2:$D$11,MATCH(E234,Produtos!$A$2:$A$11,0))</x:f>
        <x:v>59.9</x:v>
      </x:c>
      <x:c r="I234" s="17" t="n">
        <x:f>G234*H234</x:f>
        <x:v>419.3</x:v>
      </x:c>
      <x:c r="J234" s="14" t="str">
        <x:v>Cartão de crédito</x:v>
      </x:c>
      <x:c r="K234" s="14" t="str">
        <x:v>Entregue</x:v>
      </x:c>
      <x:c r="L234" s="15" t="str">
        <x:f>INDEX(Clientes!$F$2:$F$101,MATCH(C234,Clientes!$A$2:$A$101,0))</x:f>
        <x:v>SC</x:v>
      </x:c>
    </x:row>
    <x:row r="235" ht="20" customHeight="1">
      <x:c r="A235" s="13" t="str">
        <x:v>PED00234</x:v>
      </x:c>
      <x:c r="B235" s="19" t="n">
        <x:v>46121</x:v>
      </x:c>
      <x:c r="C235" s="14" t="str">
        <x:v>CLI0096</x:v>
      </x:c>
      <x:c r="D235" s="14" t="str">
        <x:f>INDEX(Clientes!$B$2:$B$101,MATCH(C235,Clientes!$A$2:$A$101,0))</x:f>
        <x:v>Bruno Farias Henrique</x:v>
      </x:c>
      <x:c r="E235" s="14" t="str">
        <x:v>PROD003</x:v>
      </x:c>
      <x:c r="F235" s="14" t="str">
        <x:f>INDEX(Produtos!$B$2:$B$11,MATCH(E235,Produtos!$A$2:$A$11,0))</x:f>
        <x:v>Fone Bluetooth</x:v>
      </x:c>
      <x:c r="G235" s="18" t="n">
        <x:v>5</x:v>
      </x:c>
      <x:c r="H235" s="17" t="n">
        <x:f>INDEX(Produtos!$D$2:$D$11,MATCH(E235,Produtos!$A$2:$A$11,0))</x:f>
        <x:v>129.9</x:v>
      </x:c>
      <x:c r="I235" s="17" t="n">
        <x:f>G235*H235</x:f>
        <x:v>649.5</x:v>
      </x:c>
      <x:c r="J235" s="14" t="str">
        <x:v>Boleto</x:v>
      </x:c>
      <x:c r="K235" s="14" t="str">
        <x:v>Processando</x:v>
      </x:c>
      <x:c r="L235" s="15" t="str">
        <x:f>INDEX(Clientes!$F$2:$F$101,MATCH(C235,Clientes!$A$2:$A$101,0))</x:f>
        <x:v>MG</x:v>
      </x:c>
    </x:row>
    <x:row r="236" ht="20" customHeight="1">
      <x:c r="A236" s="13" t="str">
        <x:v>PED00235</x:v>
      </x:c>
      <x:c r="B236" s="19" t="n">
        <x:v>46044</x:v>
      </x:c>
      <x:c r="C236" s="14" t="str">
        <x:v>CLI0086</x:v>
      </x:c>
      <x:c r="D236" s="14" t="str">
        <x:f>INDEX(Clientes!$B$2:$B$101,MATCH(C236,Clientes!$A$2:$A$101,0))</x:f>
        <x:v>Pedro Lopes Henrique</x:v>
      </x:c>
      <x:c r="E236" s="14" t="str">
        <x:v>PROD005</x:v>
      </x:c>
      <x:c r="F236" s="14" t="str">
        <x:f>INDEX(Produtos!$B$2:$B$11,MATCH(E236,Produtos!$A$2:$A$11,0))</x:f>
        <x:v>Luminária de Mesa LED</x:v>
      </x:c>
      <x:c r="G236" s="18" t="n">
        <x:v>3</x:v>
      </x:c>
      <x:c r="H236" s="17" t="n">
        <x:f>INDEX(Produtos!$D$2:$D$11,MATCH(E236,Produtos!$A$2:$A$11,0))</x:f>
        <x:v>89.5</x:v>
      </x:c>
      <x:c r="I236" s="17" t="n">
        <x:f>G236*H236</x:f>
        <x:v>268.5</x:v>
      </x:c>
      <x:c r="J236" s="14" t="str">
        <x:v>Cartão de crédito</x:v>
      </x:c>
      <x:c r="K236" s="14" t="str">
        <x:v>Entregue</x:v>
      </x:c>
      <x:c r="L236" s="15" t="str">
        <x:f>INDEX(Clientes!$F$2:$F$101,MATCH(C236,Clientes!$A$2:$A$101,0))</x:f>
        <x:v>PR</x:v>
      </x:c>
    </x:row>
    <x:row r="237" ht="20" customHeight="1">
      <x:c r="A237" s="13" t="str">
        <x:v>PED00236</x:v>
      </x:c>
      <x:c r="B237" s="19" t="n">
        <x:v>46149</x:v>
      </x:c>
      <x:c r="C237" s="14" t="str">
        <x:v>CLI0076</x:v>
      </x:c>
      <x:c r="D237" s="14" t="str">
        <x:f>INDEX(Clientes!$B$2:$B$101,MATCH(C237,Clientes!$A$2:$A$101,0))</x:f>
        <x:v>Vinícius Farias Machado</x:v>
      </x:c>
      <x:c r="E237" s="14" t="str">
        <x:v>PROD001</x:v>
      </x:c>
      <x:c r="F237" s="14" t="str">
        <x:f>INDEX(Produtos!$B$2:$B$11,MATCH(E237,Produtos!$A$2:$A$11,0))</x:f>
        <x:v>Caderno Universitário</x:v>
      </x:c>
      <x:c r="G237" s="18" t="n">
        <x:v>1</x:v>
      </x:c>
      <x:c r="H237" s="17" t="n">
        <x:f>INDEX(Produtos!$D$2:$D$11,MATCH(E237,Produtos!$A$2:$A$11,0))</x:f>
        <x:v>24.9</x:v>
      </x:c>
      <x:c r="I237" s="17" t="n">
        <x:f>G237*H237</x:f>
        <x:v>24.9</x:v>
      </x:c>
      <x:c r="J237" s="14" t="str">
        <x:v>Boleto</x:v>
      </x:c>
      <x:c r="K237" s="14" t="str">
        <x:v>Processando</x:v>
      </x:c>
      <x:c r="L237" s="15" t="str">
        <x:f>INDEX(Clientes!$F$2:$F$101,MATCH(C237,Clientes!$A$2:$A$101,0))</x:f>
        <x:v>BA</x:v>
      </x:c>
    </x:row>
    <x:row r="238" ht="20" customHeight="1">
      <x:c r="A238" s="13" t="str">
        <x:v>PED00237</x:v>
      </x:c>
      <x:c r="B238" s="19" t="n">
        <x:v>46129</x:v>
      </x:c>
      <x:c r="C238" s="14" t="str">
        <x:v>CLI0054</x:v>
      </x:c>
      <x:c r="D238" s="14" t="str">
        <x:f>INDEX(Clientes!$B$2:$B$101,MATCH(C238,Clientes!$A$2:$A$101,0))</x:f>
        <x:v>Lucas Farias Ferreira</x:v>
      </x:c>
      <x:c r="E238" s="14" t="str">
        <x:v>PROD001</x:v>
      </x:c>
      <x:c r="F238" s="14" t="str">
        <x:f>INDEX(Produtos!$B$2:$B$11,MATCH(E238,Produtos!$A$2:$A$11,0))</x:f>
        <x:v>Caderno Universitário</x:v>
      </x:c>
      <x:c r="G238" s="18" t="n">
        <x:v>7</x:v>
      </x:c>
      <x:c r="H238" s="17" t="n">
        <x:f>INDEX(Produtos!$D$2:$D$11,MATCH(E238,Produtos!$A$2:$A$11,0))</x:f>
        <x:v>24.9</x:v>
      </x:c>
      <x:c r="I238" s="17" t="n">
        <x:f>G238*H238</x:f>
        <x:v>174.29999999999998</x:v>
      </x:c>
      <x:c r="J238" s="14" t="str">
        <x:v>Cartão de crédito</x:v>
      </x:c>
      <x:c r="K238" s="14" t="str">
        <x:v>Entregue</x:v>
      </x:c>
      <x:c r="L238" s="15" t="str">
        <x:f>INDEX(Clientes!$F$2:$F$101,MATCH(C238,Clientes!$A$2:$A$101,0))</x:f>
        <x:v>SC</x:v>
      </x:c>
    </x:row>
    <x:row r="239" ht="20" customHeight="1">
      <x:c r="A239" s="13" t="str">
        <x:v>PED00238</x:v>
      </x:c>
      <x:c r="B239" s="19" t="n">
        <x:v>46198</x:v>
      </x:c>
      <x:c r="C239" s="14" t="str">
        <x:v>CLI0004</x:v>
      </x:c>
      <x:c r="D239" s="14" t="str">
        <x:f>INDEX(Clientes!$B$2:$B$101,MATCH(C239,Clientes!$A$2:$A$101,0))</x:f>
        <x:v>Enzo Ibrahim Queiroz</x:v>
      </x:c>
      <x:c r="E239" s="14" t="str">
        <x:v>PROD001</x:v>
      </x:c>
      <x:c r="F239" s="14" t="str">
        <x:f>INDEX(Produtos!$B$2:$B$11,MATCH(E239,Produtos!$A$2:$A$11,0))</x:f>
        <x:v>Caderno Universitário</x:v>
      </x:c>
      <x:c r="G239" s="18" t="n">
        <x:v>5</x:v>
      </x:c>
      <x:c r="H239" s="17" t="n">
        <x:f>INDEX(Produtos!$D$2:$D$11,MATCH(E239,Produtos!$A$2:$A$11,0))</x:f>
        <x:v>24.9</x:v>
      </x:c>
      <x:c r="I239" s="17" t="n">
        <x:f>G239*H239</x:f>
        <x:v>124.5</x:v>
      </x:c>
      <x:c r="J239" s="14" t="str">
        <x:v>Boleto</x:v>
      </x:c>
      <x:c r="K239" s="14" t="str">
        <x:v>Processando</x:v>
      </x:c>
      <x:c r="L239" s="15" t="str">
        <x:f>INDEX(Clientes!$F$2:$F$101,MATCH(C239,Clientes!$A$2:$A$101,0))</x:f>
        <x:v>SP</x:v>
      </x:c>
    </x:row>
    <x:row r="240" ht="20" customHeight="1">
      <x:c r="A240" s="13" t="str">
        <x:v>PED00239</x:v>
      </x:c>
      <x:c r="B240" s="19" t="n">
        <x:v>46043</x:v>
      </x:c>
      <x:c r="C240" s="14" t="str">
        <x:v>CLI0090</x:v>
      </x:c>
      <x:c r="D240" s="14" t="str">
        <x:f>INDEX(Clientes!$B$2:$B$101,MATCH(C240,Clientes!$A$2:$A$101,0))</x:f>
        <x:v>Bruno Pereira Silva</x:v>
      </x:c>
      <x:c r="E240" s="14" t="str">
        <x:v>PROD009</x:v>
      </x:c>
      <x:c r="F240" s="14" t="str">
        <x:f>INDEX(Produtos!$B$2:$B$11,MATCH(E240,Produtos!$A$2:$A$11,0))</x:f>
        <x:v>Carregador USB-C</x:v>
      </x:c>
      <x:c r="G240" s="18" t="n">
        <x:v>3</x:v>
      </x:c>
      <x:c r="H240" s="17" t="n">
        <x:f>INDEX(Produtos!$D$2:$D$11,MATCH(E240,Produtos!$A$2:$A$11,0))</x:f>
        <x:v>59.9</x:v>
      </x:c>
      <x:c r="I240" s="17" t="n">
        <x:f>G240*H240</x:f>
        <x:v>179.7</x:v>
      </x:c>
      <x:c r="J240" s="14" t="str">
        <x:v>Cartão de crédito</x:v>
      </x:c>
      <x:c r="K240" s="14" t="str">
        <x:v>Entregue</x:v>
      </x:c>
      <x:c r="L240" s="15" t="str">
        <x:f>INDEX(Clientes!$F$2:$F$101,MATCH(C240,Clientes!$A$2:$A$101,0))</x:f>
        <x:v>BA</x:v>
      </x:c>
    </x:row>
    <x:row r="241" ht="20" customHeight="1">
      <x:c r="A241" s="13" t="str">
        <x:v>PED00240</x:v>
      </x:c>
      <x:c r="B241" s="19" t="n">
        <x:v>46145</x:v>
      </x:c>
      <x:c r="C241" s="14" t="str">
        <x:v>CLI0060</x:v>
      </x:c>
      <x:c r="D241" s="14" t="str">
        <x:f>INDEX(Clientes!$B$2:$B$101,MATCH(C241,Clientes!$A$2:$A$101,0))</x:f>
        <x:v>Vinícius Teixeira Duarte</x:v>
      </x:c>
      <x:c r="E241" s="14" t="str">
        <x:v>PROD001</x:v>
      </x:c>
      <x:c r="F241" s="14" t="str">
        <x:f>INDEX(Produtos!$B$2:$B$11,MATCH(E241,Produtos!$A$2:$A$11,0))</x:f>
        <x:v>Caderno Universitário</x:v>
      </x:c>
      <x:c r="G241" s="18" t="n">
        <x:v>1</x:v>
      </x:c>
      <x:c r="H241" s="17" t="n">
        <x:f>INDEX(Produtos!$D$2:$D$11,MATCH(E241,Produtos!$A$2:$A$11,0))</x:f>
        <x:v>24.9</x:v>
      </x:c>
      <x:c r="I241" s="17" t="n">
        <x:f>G241*H241</x:f>
        <x:v>24.9</x:v>
      </x:c>
      <x:c r="J241" s="14" t="str">
        <x:v>Boleto</x:v>
      </x:c>
      <x:c r="K241" s="14" t="str">
        <x:v>Processando</x:v>
      </x:c>
      <x:c r="L241" s="15" t="str">
        <x:f>INDEX(Clientes!$F$2:$F$101,MATCH(C241,Clientes!$A$2:$A$101,0))</x:f>
        <x:v>MG</x:v>
      </x:c>
    </x:row>
    <x:row r="242" ht="20" customHeight="1">
      <x:c r="A242" s="13" t="str">
        <x:v>PED00241</x:v>
      </x:c>
      <x:c r="B242" s="19" t="n">
        <x:v>46235</x:v>
      </x:c>
      <x:c r="C242" s="14" t="str">
        <x:v>CLI0050</x:v>
      </x:c>
      <x:c r="D242" s="14" t="str">
        <x:f>INDEX(Clientes!$B$2:$B$101,MATCH(C242,Clientes!$A$2:$A$101,0))</x:f>
        <x:v>Pedro Ramos Dias</x:v>
      </x:c>
      <x:c r="E242" s="14" t="str">
        <x:v>PROD003</x:v>
      </x:c>
      <x:c r="F242" s="14" t="str">
        <x:f>INDEX(Produtos!$B$2:$B$11,MATCH(E242,Produtos!$A$2:$A$11,0))</x:f>
        <x:v>Fone Bluetooth</x:v>
      </x:c>
      <x:c r="G242" s="18" t="n">
        <x:v>7</x:v>
      </x:c>
      <x:c r="H242" s="17" t="n">
        <x:f>INDEX(Produtos!$D$2:$D$11,MATCH(E242,Produtos!$A$2:$A$11,0))</x:f>
        <x:v>129.9</x:v>
      </x:c>
      <x:c r="I242" s="17" t="n">
        <x:f>G242*H242</x:f>
        <x:v>909.3000000000001</x:v>
      </x:c>
      <x:c r="J242" s="14" t="str">
        <x:v>Cartão de crédito</x:v>
      </x:c>
      <x:c r="K242" s="14" t="str">
        <x:v>Entregue</x:v>
      </x:c>
      <x:c r="L242" s="15" t="str">
        <x:f>INDEX(Clientes!$F$2:$F$101,MATCH(C242,Clientes!$A$2:$A$101,0))</x:f>
        <x:v>SC</x:v>
      </x:c>
    </x:row>
    <x:row r="243" ht="20" customHeight="1">
      <x:c r="A243" s="13" t="str">
        <x:v>PED00242</x:v>
      </x:c>
      <x:c r="B243" s="19" t="n">
        <x:v>46072</x:v>
      </x:c>
      <x:c r="C243" s="14" t="str">
        <x:v>CLI0016</x:v>
      </x:c>
      <x:c r="D243" s="14" t="str">
        <x:f>INDEX(Clientes!$B$2:$B$101,MATCH(C243,Clientes!$A$2:$A$101,0))</x:f>
        <x:v>Lucas Costa Junqueira</x:v>
      </x:c>
      <x:c r="E243" s="14" t="str">
        <x:v>PROD007</x:v>
      </x:c>
      <x:c r="F243" s="14" t="str">
        <x:f>INDEX(Produtos!$B$2:$B$11,MATCH(E243,Produtos!$A$2:$A$11,0))</x:f>
        <x:v>Caneca Cerâmica</x:v>
      </x:c>
      <x:c r="G243" s="18" t="n">
        <x:v>5</x:v>
      </x:c>
      <x:c r="H243" s="17" t="n">
        <x:f>INDEX(Produtos!$D$2:$D$11,MATCH(E243,Produtos!$A$2:$A$11,0))</x:f>
        <x:v>32</x:v>
      </x:c>
      <x:c r="I243" s="17" t="n">
        <x:f>G243*H243</x:f>
        <x:v>160</x:v>
      </x:c>
      <x:c r="J243" s="14" t="str">
        <x:v>Boleto</x:v>
      </x:c>
      <x:c r="K243" s="14" t="str">
        <x:v>Processando</x:v>
      </x:c>
      <x:c r="L243" s="15" t="str">
        <x:f>INDEX(Clientes!$F$2:$F$101,MATCH(C243,Clientes!$A$2:$A$101,0))</x:f>
        <x:v>MG</x:v>
      </x:c>
    </x:row>
    <x:row r="244" ht="20" customHeight="1">
      <x:c r="A244" s="13" t="str">
        <x:v>PED00243</x:v>
      </x:c>
      <x:c r="B244" s="19" t="n">
        <x:v>46107</x:v>
      </x:c>
      <x:c r="C244" s="14" t="str">
        <x:v>CLI0010</x:v>
      </x:c>
      <x:c r="D244" s="14" t="str">
        <x:f>INDEX(Clientes!$B$2:$B$101,MATCH(C244,Clientes!$A$2:$A$101,0))</x:f>
        <x:v>Samuel Almeida Henrique</x:v>
      </x:c>
      <x:c r="E244" s="14" t="str">
        <x:v>PROD007</x:v>
      </x:c>
      <x:c r="F244" s="14" t="str">
        <x:f>INDEX(Produtos!$B$2:$B$11,MATCH(E244,Produtos!$A$2:$A$11,0))</x:f>
        <x:v>Caneca Cerâmica</x:v>
      </x:c>
      <x:c r="G244" s="18" t="n">
        <x:v>3</x:v>
      </x:c>
      <x:c r="H244" s="17" t="n">
        <x:f>INDEX(Produtos!$D$2:$D$11,MATCH(E244,Produtos!$A$2:$A$11,0))</x:f>
        <x:v>32</x:v>
      </x:c>
      <x:c r="I244" s="17" t="n">
        <x:f>G244*H244</x:f>
        <x:v>96</x:v>
      </x:c>
      <x:c r="J244" s="14" t="str">
        <x:v>Cartão de crédito</x:v>
      </x:c>
      <x:c r="K244" s="14" t="str">
        <x:v>Entregue</x:v>
      </x:c>
      <x:c r="L244" s="15" t="str">
        <x:f>INDEX(Clientes!$F$2:$F$101,MATCH(C244,Clientes!$A$2:$A$101,0))</x:f>
        <x:v>PR</x:v>
      </x:c>
    </x:row>
    <x:row r="245" ht="20" customHeight="1">
      <x:c r="A245" s="13" t="str">
        <x:v>PED00244</x:v>
      </x:c>
      <x:c r="B245" s="19" t="n">
        <x:v>46126</x:v>
      </x:c>
      <x:c r="C245" s="14" t="str">
        <x:v>CLI0040</x:v>
      </x:c>
      <x:c r="D245" s="14" t="str">
        <x:f>INDEX(Clientes!$B$2:$B$101,MATCH(C245,Clientes!$A$2:$A$101,0))</x:f>
        <x:v>Vinícius Andrade Vargas</x:v>
      </x:c>
      <x:c r="E245" s="14" t="str">
        <x:v>PROD003</x:v>
      </x:c>
      <x:c r="F245" s="14" t="str">
        <x:f>INDEX(Produtos!$B$2:$B$11,MATCH(E245,Produtos!$A$2:$A$11,0))</x:f>
        <x:v>Fone Bluetooth</x:v>
      </x:c>
      <x:c r="G245" s="18" t="n">
        <x:v>1</x:v>
      </x:c>
      <x:c r="H245" s="17" t="n">
        <x:f>INDEX(Produtos!$D$2:$D$11,MATCH(E245,Produtos!$A$2:$A$11,0))</x:f>
        <x:v>129.9</x:v>
      </x:c>
      <x:c r="I245" s="17" t="n">
        <x:f>G245*H245</x:f>
        <x:v>129.9</x:v>
      </x:c>
      <x:c r="J245" s="14" t="str">
        <x:v>Boleto</x:v>
      </x:c>
      <x:c r="K245" s="14" t="str">
        <x:v>Processando</x:v>
      </x:c>
      <x:c r="L245" s="15" t="str">
        <x:f>INDEX(Clientes!$F$2:$F$101,MATCH(C245,Clientes!$A$2:$A$101,0))</x:f>
        <x:v>PR</x:v>
      </x:c>
    </x:row>
    <x:row r="246" ht="20" customHeight="1">
      <x:c r="A246" s="13" t="str">
        <x:v>PED00245</x:v>
      </x:c>
      <x:c r="B246" s="19" t="n">
        <x:v>46034</x:v>
      </x:c>
      <x:c r="C246" s="14" t="str">
        <x:v>CLI0034</x:v>
      </x:c>
      <x:c r="D246" s="14" t="str">
        <x:f>INDEX(Clientes!$B$2:$B$101,MATCH(C246,Clientes!$A$2:$A$101,0))</x:f>
        <x:v>Igor Nascimento Garcia</x:v>
      </x:c>
      <x:c r="E246" s="14" t="str">
        <x:v>PROD001</x:v>
      </x:c>
      <x:c r="F246" s="14" t="str">
        <x:f>INDEX(Produtos!$B$2:$B$11,MATCH(E246,Produtos!$A$2:$A$11,0))</x:f>
        <x:v>Caderno Universitário</x:v>
      </x:c>
      <x:c r="G246" s="18" t="n">
        <x:v>7</x:v>
      </x:c>
      <x:c r="H246" s="17" t="n">
        <x:f>INDEX(Produtos!$D$2:$D$11,MATCH(E246,Produtos!$A$2:$A$11,0))</x:f>
        <x:v>24.9</x:v>
      </x:c>
      <x:c r="I246" s="17" t="n">
        <x:f>G246*H246</x:f>
        <x:v>174.29999999999998</x:v>
      </x:c>
      <x:c r="J246" s="14" t="str">
        <x:v>Cartão de crédito</x:v>
      </x:c>
      <x:c r="K246" s="14" t="str">
        <x:v>Entregue</x:v>
      </x:c>
      <x:c r="L246" s="15" t="str">
        <x:f>INDEX(Clientes!$F$2:$F$101,MATCH(C246,Clientes!$A$2:$A$101,0))</x:f>
        <x:v>PR</x:v>
      </x:c>
    </x:row>
    <x:row r="247" ht="20" customHeight="1">
      <x:c r="A247" s="13" t="str">
        <x:v>PED00246</x:v>
      </x:c>
      <x:c r="B247" s="19" t="n">
        <x:v>46187</x:v>
      </x:c>
      <x:c r="C247" s="14" t="str">
        <x:v>CLI0044</x:v>
      </x:c>
      <x:c r="D247" s="14" t="str">
        <x:f>INDEX(Clientes!$B$2:$B$101,MATCH(C247,Clientes!$A$2:$A$101,0))</x:f>
        <x:v>Igor Rocha Garcia</x:v>
      </x:c>
      <x:c r="E247" s="14" t="str">
        <x:v>PROD003</x:v>
      </x:c>
      <x:c r="F247" s="14" t="str">
        <x:f>INDEX(Produtos!$B$2:$B$11,MATCH(E247,Produtos!$A$2:$A$11,0))</x:f>
        <x:v>Fone Bluetooth</x:v>
      </x:c>
      <x:c r="G247" s="18" t="n">
        <x:v>5</x:v>
      </x:c>
      <x:c r="H247" s="17" t="n">
        <x:f>INDEX(Produtos!$D$2:$D$11,MATCH(E247,Produtos!$A$2:$A$11,0))</x:f>
        <x:v>129.9</x:v>
      </x:c>
      <x:c r="I247" s="17" t="n">
        <x:f>G247*H247</x:f>
        <x:v>649.5</x:v>
      </x:c>
      <x:c r="J247" s="14" t="str">
        <x:v>Boleto</x:v>
      </x:c>
      <x:c r="K247" s="14" t="str">
        <x:v>Processando</x:v>
      </x:c>
      <x:c r="L247" s="15" t="str">
        <x:f>INDEX(Clientes!$F$2:$F$101,MATCH(C247,Clientes!$A$2:$A$101,0))</x:f>
        <x:v>SC</x:v>
      </x:c>
    </x:row>
    <x:row r="248" ht="20" customHeight="1">
      <x:c r="A248" s="13" t="str">
        <x:v>PED00247</x:v>
      </x:c>
      <x:c r="B248" s="19" t="n">
        <x:v>46111</x:v>
      </x:c>
      <x:c r="C248" s="14" t="str">
        <x:v>CLI0054</x:v>
      </x:c>
      <x:c r="D248" s="14" t="str">
        <x:f>INDEX(Clientes!$B$2:$B$101,MATCH(C248,Clientes!$A$2:$A$101,0))</x:f>
        <x:v>Lucas Farias Ferreira</x:v>
      </x:c>
      <x:c r="E248" s="14" t="str">
        <x:v>PROD007</x:v>
      </x:c>
      <x:c r="F248" s="14" t="str">
        <x:f>INDEX(Produtos!$B$2:$B$11,MATCH(E248,Produtos!$A$2:$A$11,0))</x:f>
        <x:v>Caneca Cerâmica</x:v>
      </x:c>
      <x:c r="G248" s="18" t="n">
        <x:v>3</x:v>
      </x:c>
      <x:c r="H248" s="17" t="n">
        <x:f>INDEX(Produtos!$D$2:$D$11,MATCH(E248,Produtos!$A$2:$A$11,0))</x:f>
        <x:v>32</x:v>
      </x:c>
      <x:c r="I248" s="17" t="n">
        <x:f>G248*H248</x:f>
        <x:v>96</x:v>
      </x:c>
      <x:c r="J248" s="14" t="str">
        <x:v>Cartão de crédito</x:v>
      </x:c>
      <x:c r="K248" s="14" t="str">
        <x:v>Entregue</x:v>
      </x:c>
      <x:c r="L248" s="15" t="str">
        <x:f>INDEX(Clientes!$F$2:$F$101,MATCH(C248,Clientes!$A$2:$A$101,0))</x:f>
        <x:v>SC</x:v>
      </x:c>
    </x:row>
    <x:row r="249" ht="20" customHeight="1">
      <x:c r="A249" s="13" t="str">
        <x:v>PED00248</x:v>
      </x:c>
      <x:c r="B249" s="19" t="n">
        <x:v>46023</x:v>
      </x:c>
      <x:c r="C249" s="14" t="str">
        <x:v>CLI0028</x:v>
      </x:c>
      <x:c r="D249" s="14" t="str">
        <x:f>INDEX(Clientes!$B$2:$B$101,MATCH(C249,Clientes!$A$2:$A$101,0))</x:f>
        <x:v>Leonardo Nascimento Junqueira</x:v>
      </x:c>
      <x:c r="E249" s="14" t="str">
        <x:v>PROD007</x:v>
      </x:c>
      <x:c r="F249" s="14" t="str">
        <x:f>INDEX(Produtos!$B$2:$B$11,MATCH(E249,Produtos!$A$2:$A$11,0))</x:f>
        <x:v>Caneca Cerâmica</x:v>
      </x:c>
      <x:c r="G249" s="18" t="n">
        <x:v>1</x:v>
      </x:c>
      <x:c r="H249" s="17" t="n">
        <x:f>INDEX(Produtos!$D$2:$D$11,MATCH(E249,Produtos!$A$2:$A$11,0))</x:f>
        <x:v>32</x:v>
      </x:c>
      <x:c r="I249" s="17" t="n">
        <x:f>G249*H249</x:f>
        <x:v>32</x:v>
      </x:c>
      <x:c r="J249" s="14" t="str">
        <x:v>Boleto</x:v>
      </x:c>
      <x:c r="K249" s="14" t="str">
        <x:v>Processando</x:v>
      </x:c>
      <x:c r="L249" s="15" t="str">
        <x:f>INDEX(Clientes!$F$2:$F$101,MATCH(C249,Clientes!$A$2:$A$101,0))</x:f>
        <x:v>SC</x:v>
      </x:c>
    </x:row>
    <x:row r="250" ht="20" customHeight="1">
      <x:c r="A250" s="13" t="str">
        <x:v>PED00249</x:v>
      </x:c>
      <x:c r="B250" s="19" t="n">
        <x:v>46084</x:v>
      </x:c>
      <x:c r="C250" s="14" t="str">
        <x:v>CLI0030</x:v>
      </x:c>
      <x:c r="D250" s="14" t="str">
        <x:f>INDEX(Clientes!$B$2:$B$101,MATCH(C250,Clientes!$A$2:$A$101,0))</x:f>
        <x:v>Henrique Gomes Batista</x:v>
      </x:c>
      <x:c r="E250" s="14" t="str">
        <x:v>PROD001</x:v>
      </x:c>
      <x:c r="F250" s="14" t="str">
        <x:f>INDEX(Produtos!$B$2:$B$11,MATCH(E250,Produtos!$A$2:$A$11,0))</x:f>
        <x:v>Caderno Universitário</x:v>
      </x:c>
      <x:c r="G250" s="18" t="n">
        <x:v>7</x:v>
      </x:c>
      <x:c r="H250" s="17" t="n">
        <x:f>INDEX(Produtos!$D$2:$D$11,MATCH(E250,Produtos!$A$2:$A$11,0))</x:f>
        <x:v>24.9</x:v>
      </x:c>
      <x:c r="I250" s="17" t="n">
        <x:f>G250*H250</x:f>
        <x:v>174.29999999999998</x:v>
      </x:c>
      <x:c r="J250" s="14" t="str">
        <x:v>Cartão de crédito</x:v>
      </x:c>
      <x:c r="K250" s="14" t="str">
        <x:v>Entregue</x:v>
      </x:c>
      <x:c r="L250" s="15" t="str">
        <x:f>INDEX(Clientes!$F$2:$F$101,MATCH(C250,Clientes!$A$2:$A$101,0))</x:f>
        <x:v>SP</x:v>
      </x:c>
    </x:row>
    <x:row r="251" ht="20" customHeight="1">
      <x:c r="A251" s="13" t="str">
        <x:v>PED00250</x:v>
      </x:c>
      <x:c r="B251" s="19" t="n">
        <x:v>46045</x:v>
      </x:c>
      <x:c r="C251" s="14" t="str">
        <x:v>CLI0052</x:v>
      </x:c>
      <x:c r="D251" s="14" t="str">
        <x:f>INDEX(Clientes!$B$2:$B$101,MATCH(C251,Clientes!$A$2:$A$101,0))</x:f>
        <x:v>Caio Rocha Dias</x:v>
      </x:c>
      <x:c r="E251" s="14" t="str">
        <x:v>PROD005</x:v>
      </x:c>
      <x:c r="F251" s="14" t="str">
        <x:f>INDEX(Produtos!$B$2:$B$11,MATCH(E251,Produtos!$A$2:$A$11,0))</x:f>
        <x:v>Luminária de Mesa LED</x:v>
      </x:c>
      <x:c r="G251" s="18" t="n">
        <x:v>5</x:v>
      </x:c>
      <x:c r="H251" s="17" t="n">
        <x:f>INDEX(Produtos!$D$2:$D$11,MATCH(E251,Produtos!$A$2:$A$11,0))</x:f>
        <x:v>89.5</x:v>
      </x:c>
      <x:c r="I251" s="17" t="n">
        <x:f>G251*H251</x:f>
        <x:v>447.5</x:v>
      </x:c>
      <x:c r="J251" s="14" t="str">
        <x:v>Boleto</x:v>
      </x:c>
      <x:c r="K251" s="14" t="str">
        <x:v>Processando</x:v>
      </x:c>
      <x:c r="L251" s="15" t="str">
        <x:f>INDEX(Clientes!$F$2:$F$101,MATCH(C251,Clientes!$A$2:$A$101,0))</x:f>
        <x:v>SP</x:v>
      </x:c>
    </x:row>
    <x:row r="252" ht="20" customHeight="1">
      <x:c r="A252" s="13" t="str">
        <x:v>PED00251</x:v>
      </x:c>
      <x:c r="B252" s="19" t="n">
        <x:v>46174</x:v>
      </x:c>
      <x:c r="C252" s="14" t="str">
        <x:v>CLI0022</x:v>
      </x:c>
      <x:c r="D252" s="14" t="str">
        <x:f>INDEX(Clientes!$B$2:$B$101,MATCH(C252,Clientes!$A$2:$A$101,0))</x:f>
        <x:v>Bruno Teixeira Souza</x:v>
      </x:c>
      <x:c r="E252" s="14" t="str">
        <x:v>PROD009</x:v>
      </x:c>
      <x:c r="F252" s="14" t="str">
        <x:f>INDEX(Produtos!$B$2:$B$11,MATCH(E252,Produtos!$A$2:$A$11,0))</x:f>
        <x:v>Carregador USB-C</x:v>
      </x:c>
      <x:c r="G252" s="18" t="n">
        <x:v>3</x:v>
      </x:c>
      <x:c r="H252" s="17" t="n">
        <x:f>INDEX(Produtos!$D$2:$D$11,MATCH(E252,Produtos!$A$2:$A$11,0))</x:f>
        <x:v>59.9</x:v>
      </x:c>
      <x:c r="I252" s="17" t="n">
        <x:f>G252*H252</x:f>
        <x:v>179.7</x:v>
      </x:c>
      <x:c r="J252" s="14" t="str">
        <x:v>Cartão de crédito</x:v>
      </x:c>
      <x:c r="K252" s="14" t="str">
        <x:v>Entregue</x:v>
      </x:c>
      <x:c r="L252" s="15" t="str">
        <x:f>INDEX(Clientes!$F$2:$F$101,MATCH(C252,Clientes!$A$2:$A$101,0))</x:f>
        <x:v>SC</x:v>
      </x:c>
    </x:row>
    <x:row r="253" ht="20" customHeight="1">
      <x:c r="A253" s="13" t="str">
        <x:v>PED00252</x:v>
      </x:c>
      <x:c r="B253" s="19" t="n">
        <x:v>46039</x:v>
      </x:c>
      <x:c r="C253" s="14" t="str">
        <x:v>CLI0072</x:v>
      </x:c>
      <x:c r="D253" s="14" t="str">
        <x:f>INDEX(Clientes!$B$2:$B$101,MATCH(C253,Clientes!$A$2:$A$101,0))</x:f>
        <x:v>Leonardo Farias Dias</x:v>
      </x:c>
      <x:c r="E253" s="14" t="str">
        <x:v>PROD007</x:v>
      </x:c>
      <x:c r="F253" s="14" t="str">
        <x:f>INDEX(Produtos!$B$2:$B$11,MATCH(E253,Produtos!$A$2:$A$11,0))</x:f>
        <x:v>Caneca Cerâmica</x:v>
      </x:c>
      <x:c r="G253" s="18" t="n">
        <x:v>1</x:v>
      </x:c>
      <x:c r="H253" s="17" t="n">
        <x:f>INDEX(Produtos!$D$2:$D$11,MATCH(E253,Produtos!$A$2:$A$11,0))</x:f>
        <x:v>32</x:v>
      </x:c>
      <x:c r="I253" s="17" t="n">
        <x:f>G253*H253</x:f>
        <x:v>32</x:v>
      </x:c>
      <x:c r="J253" s="14" t="str">
        <x:v>Boleto</x:v>
      </x:c>
      <x:c r="K253" s="14" t="str">
        <x:v>Processando</x:v>
      </x:c>
      <x:c r="L253" s="15" t="str">
        <x:f>INDEX(Clientes!$F$2:$F$101,MATCH(C253,Clientes!$A$2:$A$101,0))</x:f>
        <x:v>SP</x:v>
      </x:c>
    </x:row>
    <x:row r="254" ht="20" customHeight="1">
      <x:c r="A254" s="13" t="str">
        <x:v>PED00253</x:v>
      </x:c>
      <x:c r="B254" s="19" t="n">
        <x:v>46127</x:v>
      </x:c>
      <x:c r="C254" s="14" t="str">
        <x:v>CLI0034</x:v>
      </x:c>
      <x:c r="D254" s="14" t="str">
        <x:f>INDEX(Clientes!$B$2:$B$101,MATCH(C254,Clientes!$A$2:$A$101,0))</x:f>
        <x:v>Igor Nascimento Garcia</x:v>
      </x:c>
      <x:c r="E254" s="14" t="str">
        <x:v>PROD009</x:v>
      </x:c>
      <x:c r="F254" s="14" t="str">
        <x:f>INDEX(Produtos!$B$2:$B$11,MATCH(E254,Produtos!$A$2:$A$11,0))</x:f>
        <x:v>Carregador USB-C</x:v>
      </x:c>
      <x:c r="G254" s="18" t="n">
        <x:v>7</x:v>
      </x:c>
      <x:c r="H254" s="17" t="n">
        <x:f>INDEX(Produtos!$D$2:$D$11,MATCH(E254,Produtos!$A$2:$A$11,0))</x:f>
        <x:v>59.9</x:v>
      </x:c>
      <x:c r="I254" s="17" t="n">
        <x:f>G254*H254</x:f>
        <x:v>419.3</x:v>
      </x:c>
      <x:c r="J254" s="14" t="str">
        <x:v>Cartão de crédito</x:v>
      </x:c>
      <x:c r="K254" s="14" t="str">
        <x:v>Entregue</x:v>
      </x:c>
      <x:c r="L254" s="15" t="str">
        <x:f>INDEX(Clientes!$F$2:$F$101,MATCH(C254,Clientes!$A$2:$A$101,0))</x:f>
        <x:v>PR</x:v>
      </x:c>
    </x:row>
    <x:row r="255" ht="20" customHeight="1">
      <x:c r="A255" s="13" t="str">
        <x:v>PED00254</x:v>
      </x:c>
      <x:c r="B255" s="19" t="n">
        <x:v>46126</x:v>
      </x:c>
      <x:c r="C255" s="14" t="str">
        <x:v>CLI0024</x:v>
      </x:c>
      <x:c r="D255" s="14" t="str">
        <x:f>INDEX(Clientes!$B$2:$B$101,MATCH(C255,Clientes!$A$2:$A$101,0))</x:f>
        <x:v>João Cardoso Duarte</x:v>
      </x:c>
      <x:c r="E255" s="14" t="str">
        <x:v>PROD003</x:v>
      </x:c>
      <x:c r="F255" s="14" t="str">
        <x:f>INDEX(Produtos!$B$2:$B$11,MATCH(E255,Produtos!$A$2:$A$11,0))</x:f>
        <x:v>Fone Bluetooth</x:v>
      </x:c>
      <x:c r="G255" s="18" t="n">
        <x:v>5</x:v>
      </x:c>
      <x:c r="H255" s="17" t="n">
        <x:f>INDEX(Produtos!$D$2:$D$11,MATCH(E255,Produtos!$A$2:$A$11,0))</x:f>
        <x:v>129.9</x:v>
      </x:c>
      <x:c r="I255" s="17" t="n">
        <x:f>G255*H255</x:f>
        <x:v>649.5</x:v>
      </x:c>
      <x:c r="J255" s="14" t="str">
        <x:v>Boleto</x:v>
      </x:c>
      <x:c r="K255" s="14" t="str">
        <x:v>Processando</x:v>
      </x:c>
      <x:c r="L255" s="15" t="str">
        <x:f>INDEX(Clientes!$F$2:$F$101,MATCH(C255,Clientes!$A$2:$A$101,0))</x:f>
        <x:v>SP</x:v>
      </x:c>
    </x:row>
    <x:row r="256" ht="20" customHeight="1">
      <x:c r="A256" s="13" t="str">
        <x:v>PED00255</x:v>
      </x:c>
      <x:c r="B256" s="19" t="n">
        <x:v>46115</x:v>
      </x:c>
      <x:c r="C256" s="14" t="str">
        <x:v>CLI0034</x:v>
      </x:c>
      <x:c r="D256" s="14" t="str">
        <x:f>INDEX(Clientes!$B$2:$B$101,MATCH(C256,Clientes!$A$2:$A$101,0))</x:f>
        <x:v>Igor Nascimento Garcia</x:v>
      </x:c>
      <x:c r="E256" s="14" t="str">
        <x:v>PROD009</x:v>
      </x:c>
      <x:c r="F256" s="14" t="str">
        <x:f>INDEX(Produtos!$B$2:$B$11,MATCH(E256,Produtos!$A$2:$A$11,0))</x:f>
        <x:v>Carregador USB-C</x:v>
      </x:c>
      <x:c r="G256" s="18" t="n">
        <x:v>3</x:v>
      </x:c>
      <x:c r="H256" s="17" t="n">
        <x:f>INDEX(Produtos!$D$2:$D$11,MATCH(E256,Produtos!$A$2:$A$11,0))</x:f>
        <x:v>59.9</x:v>
      </x:c>
      <x:c r="I256" s="17" t="n">
        <x:f>G256*H256</x:f>
        <x:v>179.7</x:v>
      </x:c>
      <x:c r="J256" s="14" t="str">
        <x:v>Cartão de crédito</x:v>
      </x:c>
      <x:c r="K256" s="14" t="str">
        <x:v>Entregue</x:v>
      </x:c>
      <x:c r="L256" s="15" t="str">
        <x:f>INDEX(Clientes!$F$2:$F$101,MATCH(C256,Clientes!$A$2:$A$101,0))</x:f>
        <x:v>PR</x:v>
      </x:c>
    </x:row>
    <x:row r="257" ht="20" customHeight="1">
      <x:c r="A257" s="13" t="str">
        <x:v>PED00256</x:v>
      </x:c>
      <x:c r="B257" s="19" t="n">
        <x:v>46073</x:v>
      </x:c>
      <x:c r="C257" s="14" t="str">
        <x:v>CLI0092</x:v>
      </x:c>
      <x:c r="D257" s="14" t="str">
        <x:f>INDEX(Clientes!$B$2:$B$101,MATCH(C257,Clientes!$A$2:$A$101,0))</x:f>
        <x:v>Henrique Ibrahim Duarte</x:v>
      </x:c>
      <x:c r="E257" s="14" t="str">
        <x:v>PROD003</x:v>
      </x:c>
      <x:c r="F257" s="14" t="str">
        <x:f>INDEX(Produtos!$B$2:$B$11,MATCH(E257,Produtos!$A$2:$A$11,0))</x:f>
        <x:v>Fone Bluetooth</x:v>
      </x:c>
      <x:c r="G257" s="18" t="n">
        <x:v>1</x:v>
      </x:c>
      <x:c r="H257" s="17" t="n">
        <x:f>INDEX(Produtos!$D$2:$D$11,MATCH(E257,Produtos!$A$2:$A$11,0))</x:f>
        <x:v>129.9</x:v>
      </x:c>
      <x:c r="I257" s="17" t="n">
        <x:f>G257*H257</x:f>
        <x:v>129.9</x:v>
      </x:c>
      <x:c r="J257" s="14" t="str">
        <x:v>Boleto</x:v>
      </x:c>
      <x:c r="K257" s="14" t="str">
        <x:v>Processando</x:v>
      </x:c>
      <x:c r="L257" s="15" t="str">
        <x:f>INDEX(Clientes!$F$2:$F$101,MATCH(C257,Clientes!$A$2:$A$101,0))</x:f>
        <x:v>PR</x:v>
      </x:c>
    </x:row>
    <x:row r="258" ht="20" customHeight="1">
      <x:c r="A258" s="13" t="str">
        <x:v>PED00257</x:v>
      </x:c>
      <x:c r="B258" s="19" t="n">
        <x:v>46182</x:v>
      </x:c>
      <x:c r="C258" s="14" t="str">
        <x:v>CLI0082</x:v>
      </x:c>
      <x:c r="D258" s="14" t="str">
        <x:f>INDEX(Clientes!$B$2:$B$101,MATCH(C258,Clientes!$A$2:$A$101,0))</x:f>
        <x:v>Bruno Esteves Barbosa</x:v>
      </x:c>
      <x:c r="E258" s="14" t="str">
        <x:v>PROD001</x:v>
      </x:c>
      <x:c r="F258" s="14" t="str">
        <x:f>INDEX(Produtos!$B$2:$B$11,MATCH(E258,Produtos!$A$2:$A$11,0))</x:f>
        <x:v>Caderno Universitário</x:v>
      </x:c>
      <x:c r="G258" s="18" t="n">
        <x:v>7</x:v>
      </x:c>
      <x:c r="H258" s="17" t="n">
        <x:f>INDEX(Produtos!$D$2:$D$11,MATCH(E258,Produtos!$A$2:$A$11,0))</x:f>
        <x:v>24.9</x:v>
      </x:c>
      <x:c r="I258" s="17" t="n">
        <x:f>G258*H258</x:f>
        <x:v>174.29999999999998</x:v>
      </x:c>
      <x:c r="J258" s="14" t="str">
        <x:v>Cartão de crédito</x:v>
      </x:c>
      <x:c r="K258" s="14" t="str">
        <x:v>Entregue</x:v>
      </x:c>
      <x:c r="L258" s="15" t="str">
        <x:f>INDEX(Clientes!$F$2:$F$101,MATCH(C258,Clientes!$A$2:$A$101,0))</x:f>
        <x:v>SC</x:v>
      </x:c>
    </x:row>
    <x:row r="259" ht="20" customHeight="1">
      <x:c r="A259" s="13" t="str">
        <x:v>PED00258</x:v>
      </x:c>
      <x:c r="B259" s="19" t="n">
        <x:v>46173</x:v>
      </x:c>
      <x:c r="C259" s="14" t="str">
        <x:v>CLI0100</x:v>
      </x:c>
      <x:c r="D259" s="14" t="str">
        <x:f>INDEX(Clientes!$B$2:$B$101,MATCH(C259,Clientes!$A$2:$A$101,0))</x:f>
        <x:v>Igor Ramos Silva</x:v>
      </x:c>
      <x:c r="E259" s="14" t="str">
        <x:v>PROD005</x:v>
      </x:c>
      <x:c r="F259" s="14" t="str">
        <x:f>INDEX(Produtos!$B$2:$B$11,MATCH(E259,Produtos!$A$2:$A$11,0))</x:f>
        <x:v>Luminária de Mesa LED</x:v>
      </x:c>
      <x:c r="G259" s="18" t="n">
        <x:v>5</x:v>
      </x:c>
      <x:c r="H259" s="17" t="n">
        <x:f>INDEX(Produtos!$D$2:$D$11,MATCH(E259,Produtos!$A$2:$A$11,0))</x:f>
        <x:v>89.5</x:v>
      </x:c>
      <x:c r="I259" s="17" t="n">
        <x:f>G259*H259</x:f>
        <x:v>447.5</x:v>
      </x:c>
      <x:c r="J259" s="14" t="str">
        <x:v>Boleto</x:v>
      </x:c>
      <x:c r="K259" s="14" t="str">
        <x:v>Processando</x:v>
      </x:c>
      <x:c r="L259" s="15" t="str">
        <x:f>INDEX(Clientes!$F$2:$F$101,MATCH(C259,Clientes!$A$2:$A$101,0))</x:f>
        <x:v>SP</x:v>
      </x:c>
    </x:row>
    <x:row r="260" ht="20" customHeight="1">
      <x:c r="A260" s="13" t="str">
        <x:v>PED00259</x:v>
      </x:c>
      <x:c r="B260" s="19" t="n">
        <x:v>46144</x:v>
      </x:c>
      <x:c r="C260" s="14" t="str">
        <x:v>CLI0014</x:v>
      </x:c>
      <x:c r="D260" s="14" t="str">
        <x:f>INDEX(Clientes!$B$2:$B$101,MATCH(C260,Clientes!$A$2:$A$101,0))</x:f>
        <x:v>Enzo Andrade Duarte</x:v>
      </x:c>
      <x:c r="E260" s="14" t="str">
        <x:v>PROD007</x:v>
      </x:c>
      <x:c r="F260" s="14" t="str">
        <x:f>INDEX(Produtos!$B$2:$B$11,MATCH(E260,Produtos!$A$2:$A$11,0))</x:f>
        <x:v>Caneca Cerâmica</x:v>
      </x:c>
      <x:c r="G260" s="18" t="n">
        <x:v>3</x:v>
      </x:c>
      <x:c r="H260" s="17" t="n">
        <x:f>INDEX(Produtos!$D$2:$D$11,MATCH(E260,Produtos!$A$2:$A$11,0))</x:f>
        <x:v>32</x:v>
      </x:c>
      <x:c r="I260" s="17" t="n">
        <x:f>G260*H260</x:f>
        <x:v>96</x:v>
      </x:c>
      <x:c r="J260" s="14" t="str">
        <x:v>Cartão de crédito</x:v>
      </x:c>
      <x:c r="K260" s="14" t="str">
        <x:v>Entregue</x:v>
      </x:c>
      <x:c r="L260" s="15" t="str">
        <x:f>INDEX(Clientes!$F$2:$F$101,MATCH(C260,Clientes!$A$2:$A$101,0))</x:f>
        <x:v>PR</x:v>
      </x:c>
    </x:row>
    <x:row r="261" ht="20" customHeight="1">
      <x:c r="A261" s="13" t="str">
        <x:v>PED00260</x:v>
      </x:c>
      <x:c r="B261" s="19" t="n">
        <x:v>46031</x:v>
      </x:c>
      <x:c r="C261" s="14" t="str">
        <x:v>CLI0100</x:v>
      </x:c>
      <x:c r="D261" s="14" t="str">
        <x:f>INDEX(Clientes!$B$2:$B$101,MATCH(C261,Clientes!$A$2:$A$101,0))</x:f>
        <x:v>Igor Ramos Silva</x:v>
      </x:c>
      <x:c r="E261" s="14" t="str">
        <x:v>PROD001</x:v>
      </x:c>
      <x:c r="F261" s="14" t="str">
        <x:f>INDEX(Produtos!$B$2:$B$11,MATCH(E261,Produtos!$A$2:$A$11,0))</x:f>
        <x:v>Caderno Universitário</x:v>
      </x:c>
      <x:c r="G261" s="18" t="n">
        <x:v>1</x:v>
      </x:c>
      <x:c r="H261" s="17" t="n">
        <x:f>INDEX(Produtos!$D$2:$D$11,MATCH(E261,Produtos!$A$2:$A$11,0))</x:f>
        <x:v>24.9</x:v>
      </x:c>
      <x:c r="I261" s="17" t="n">
        <x:f>G261*H261</x:f>
        <x:v>24.9</x:v>
      </x:c>
      <x:c r="J261" s="14" t="str">
        <x:v>Boleto</x:v>
      </x:c>
      <x:c r="K261" s="14" t="str">
        <x:v>Processando</x:v>
      </x:c>
      <x:c r="L261" s="15" t="str">
        <x:f>INDEX(Clientes!$F$2:$F$101,MATCH(C261,Clientes!$A$2:$A$101,0))</x:f>
        <x:v>SP</x:v>
      </x:c>
    </x:row>
    <x:row r="262" ht="20" customHeight="1">
      <x:c r="A262" s="13" t="str">
        <x:v>PED00261</x:v>
      </x:c>
      <x:c r="B262" s="19" t="n">
        <x:v>46144</x:v>
      </x:c>
      <x:c r="C262" s="14" t="str">
        <x:v>CLI0090</x:v>
      </x:c>
      <x:c r="D262" s="14" t="str">
        <x:f>INDEX(Clientes!$B$2:$B$101,MATCH(C262,Clientes!$A$2:$A$101,0))</x:f>
        <x:v>Bruno Pereira Silva</x:v>
      </x:c>
      <x:c r="E262" s="14" t="str">
        <x:v>PROD005</x:v>
      </x:c>
      <x:c r="F262" s="14" t="str">
        <x:f>INDEX(Produtos!$B$2:$B$11,MATCH(E262,Produtos!$A$2:$A$11,0))</x:f>
        <x:v>Luminária de Mesa LED</x:v>
      </x:c>
      <x:c r="G262" s="18" t="n">
        <x:v>7</x:v>
      </x:c>
      <x:c r="H262" s="17" t="n">
        <x:f>INDEX(Produtos!$D$2:$D$11,MATCH(E262,Produtos!$A$2:$A$11,0))</x:f>
        <x:v>89.5</x:v>
      </x:c>
      <x:c r="I262" s="17" t="n">
        <x:f>G262*H262</x:f>
        <x:v>626.5</x:v>
      </x:c>
      <x:c r="J262" s="14" t="str">
        <x:v>Cartão de crédito</x:v>
      </x:c>
      <x:c r="K262" s="14" t="str">
        <x:v>Entregue</x:v>
      </x:c>
      <x:c r="L262" s="15" t="str">
        <x:f>INDEX(Clientes!$F$2:$F$101,MATCH(C262,Clientes!$A$2:$A$101,0))</x:f>
        <x:v>BA</x:v>
      </x:c>
    </x:row>
    <x:row r="263" ht="20" customHeight="1">
      <x:c r="A263" s="13" t="str">
        <x:v>PED00262</x:v>
      </x:c>
      <x:c r="B263" s="19" t="n">
        <x:v>46274</x:v>
      </x:c>
      <x:c r="C263" s="14" t="str">
        <x:v>CLI0080</x:v>
      </x:c>
      <x:c r="D263" s="14" t="str">
        <x:f>INDEX(Clientes!$B$2:$B$101,MATCH(C263,Clientes!$A$2:$A$101,0))</x:f>
        <x:v>Caio Nascimento Vargas</x:v>
      </x:c>
      <x:c r="E263" s="14" t="str">
        <x:v>PROD001</x:v>
      </x:c>
      <x:c r="F263" s="14" t="str">
        <x:f>INDEX(Produtos!$B$2:$B$11,MATCH(E263,Produtos!$A$2:$A$11,0))</x:f>
        <x:v>Caderno Universitário</x:v>
      </x:c>
      <x:c r="G263" s="18" t="n">
        <x:v>5</x:v>
      </x:c>
      <x:c r="H263" s="17" t="n">
        <x:f>INDEX(Produtos!$D$2:$D$11,MATCH(E263,Produtos!$A$2:$A$11,0))</x:f>
        <x:v>24.9</x:v>
      </x:c>
      <x:c r="I263" s="17" t="n">
        <x:f>G263*H263</x:f>
        <x:v>124.5</x:v>
      </x:c>
      <x:c r="J263" s="14" t="str">
        <x:v>Boleto</x:v>
      </x:c>
      <x:c r="K263" s="14" t="str">
        <x:v>Processando</x:v>
      </x:c>
      <x:c r="L263" s="15" t="str">
        <x:f>INDEX(Clientes!$F$2:$F$101,MATCH(C263,Clientes!$A$2:$A$101,0))</x:f>
        <x:v>SC</x:v>
      </x:c>
    </x:row>
    <x:row r="264" ht="20" customHeight="1">
      <x:c r="A264" s="13" t="str">
        <x:v>PED00263</x:v>
      </x:c>
      <x:c r="B264" s="19" t="n">
        <x:v>46111</x:v>
      </x:c>
      <x:c r="C264" s="14" t="str">
        <x:v>CLI0034</x:v>
      </x:c>
      <x:c r="D264" s="14" t="str">
        <x:f>INDEX(Clientes!$B$2:$B$101,MATCH(C264,Clientes!$A$2:$A$101,0))</x:f>
        <x:v>Igor Nascimento Garcia</x:v>
      </x:c>
      <x:c r="E264" s="14" t="str">
        <x:v>PROD009</x:v>
      </x:c>
      <x:c r="F264" s="14" t="str">
        <x:f>INDEX(Produtos!$B$2:$B$11,MATCH(E264,Produtos!$A$2:$A$11,0))</x:f>
        <x:v>Carregador USB-C</x:v>
      </x:c>
      <x:c r="G264" s="18" t="n">
        <x:v>3</x:v>
      </x:c>
      <x:c r="H264" s="17" t="n">
        <x:f>INDEX(Produtos!$D$2:$D$11,MATCH(E264,Produtos!$A$2:$A$11,0))</x:f>
        <x:v>59.9</x:v>
      </x:c>
      <x:c r="I264" s="17" t="n">
        <x:f>G264*H264</x:f>
        <x:v>179.7</x:v>
      </x:c>
      <x:c r="J264" s="14" t="str">
        <x:v>Cartão de crédito</x:v>
      </x:c>
      <x:c r="K264" s="14" t="str">
        <x:v>Entregue</x:v>
      </x:c>
      <x:c r="L264" s="15" t="str">
        <x:f>INDEX(Clientes!$F$2:$F$101,MATCH(C264,Clientes!$A$2:$A$101,0))</x:f>
        <x:v>PR</x:v>
      </x:c>
    </x:row>
    <x:row r="265" ht="20" customHeight="1">
      <x:c r="A265" s="13" t="str">
        <x:v>PED00264</x:v>
      </x:c>
      <x:c r="B265" s="19" t="n">
        <x:v>46152</x:v>
      </x:c>
      <x:c r="C265" s="14" t="str">
        <x:v>CLI0072</x:v>
      </x:c>
      <x:c r="D265" s="14" t="str">
        <x:f>INDEX(Clientes!$B$2:$B$101,MATCH(C265,Clientes!$A$2:$A$101,0))</x:f>
        <x:v>Leonardo Farias Dias</x:v>
      </x:c>
      <x:c r="E265" s="14" t="str">
        <x:v>PROD005</x:v>
      </x:c>
      <x:c r="F265" s="14" t="str">
        <x:f>INDEX(Produtos!$B$2:$B$11,MATCH(E265,Produtos!$A$2:$A$11,0))</x:f>
        <x:v>Luminária de Mesa LED</x:v>
      </x:c>
      <x:c r="G265" s="18" t="n">
        <x:v>1</x:v>
      </x:c>
      <x:c r="H265" s="17" t="n">
        <x:f>INDEX(Produtos!$D$2:$D$11,MATCH(E265,Produtos!$A$2:$A$11,0))</x:f>
        <x:v>89.5</x:v>
      </x:c>
      <x:c r="I265" s="17" t="n">
        <x:f>G265*H265</x:f>
        <x:v>89.5</x:v>
      </x:c>
      <x:c r="J265" s="14" t="str">
        <x:v>Boleto</x:v>
      </x:c>
      <x:c r="K265" s="14" t="str">
        <x:v>Processando</x:v>
      </x:c>
      <x:c r="L265" s="15" t="str">
        <x:f>INDEX(Clientes!$F$2:$F$101,MATCH(C265,Clientes!$A$2:$A$101,0))</x:f>
        <x:v>SP</x:v>
      </x:c>
    </x:row>
    <x:row r="266" ht="20" customHeight="1">
      <x:c r="A266" s="13" t="str">
        <x:v>PED00265</x:v>
      </x:c>
      <x:c r="B266" s="19" t="n">
        <x:v>46107</x:v>
      </x:c>
      <x:c r="C266" s="14" t="str">
        <x:v>CLI0042</x:v>
      </x:c>
      <x:c r="D266" s="14" t="str">
        <x:f>INDEX(Clientes!$B$2:$B$101,MATCH(C266,Clientes!$A$2:$A$101,0))</x:f>
        <x:v>João Rocha Batista</x:v>
      </x:c>
      <x:c r="E266" s="14" t="str">
        <x:v>PROD009</x:v>
      </x:c>
      <x:c r="F266" s="14" t="str">
        <x:f>INDEX(Produtos!$B$2:$B$11,MATCH(E266,Produtos!$A$2:$A$11,0))</x:f>
        <x:v>Carregador USB-C</x:v>
      </x:c>
      <x:c r="G266" s="18" t="n">
        <x:v>7</x:v>
      </x:c>
      <x:c r="H266" s="17" t="n">
        <x:f>INDEX(Produtos!$D$2:$D$11,MATCH(E266,Produtos!$A$2:$A$11,0))</x:f>
        <x:v>59.9</x:v>
      </x:c>
      <x:c r="I266" s="17" t="n">
        <x:f>G266*H266</x:f>
        <x:v>419.3</x:v>
      </x:c>
      <x:c r="J266" s="14" t="str">
        <x:v>Cartão de crédito</x:v>
      </x:c>
      <x:c r="K266" s="14" t="str">
        <x:v>Entregue</x:v>
      </x:c>
      <x:c r="L266" s="15" t="str">
        <x:f>INDEX(Clientes!$F$2:$F$101,MATCH(C266,Clientes!$A$2:$A$101,0))</x:f>
        <x:v>PR</x:v>
      </x:c>
    </x:row>
    <x:row r="267" ht="20" customHeight="1">
      <x:c r="A267" s="13" t="str">
        <x:v>PED00266</x:v>
      </x:c>
      <x:c r="B267" s="19" t="n">
        <x:v>46066</x:v>
      </x:c>
      <x:c r="C267" s="14" t="str">
        <x:v>CLI0068</x:v>
      </x:c>
      <x:c r="D267" s="14" t="str">
        <x:f>INDEX(Clientes!$B$2:$B$101,MATCH(C267,Clientes!$A$2:$A$101,0))</x:f>
        <x:v>Igor Andrade Machado</x:v>
      </x:c>
      <x:c r="E267" s="14" t="str">
        <x:v>PROD007</x:v>
      </x:c>
      <x:c r="F267" s="14" t="str">
        <x:f>INDEX(Produtos!$B$2:$B$11,MATCH(E267,Produtos!$A$2:$A$11,0))</x:f>
        <x:v>Caneca Cerâmica</x:v>
      </x:c>
      <x:c r="G267" s="18" t="n">
        <x:v>5</x:v>
      </x:c>
      <x:c r="H267" s="17" t="n">
        <x:f>INDEX(Produtos!$D$2:$D$11,MATCH(E267,Produtos!$A$2:$A$11,0))</x:f>
        <x:v>32</x:v>
      </x:c>
      <x:c r="I267" s="17" t="n">
        <x:f>G267*H267</x:f>
        <x:v>160</x:v>
      </x:c>
      <x:c r="J267" s="14" t="str">
        <x:v>Boleto</x:v>
      </x:c>
      <x:c r="K267" s="14" t="str">
        <x:v>Processando</x:v>
      </x:c>
      <x:c r="L267" s="15" t="str">
        <x:f>INDEX(Clientes!$F$2:$F$101,MATCH(C267,Clientes!$A$2:$A$101,0))</x:f>
        <x:v>SP</x:v>
      </x:c>
    </x:row>
    <x:row r="268" ht="20" customHeight="1">
      <x:c r="A268" s="13" t="str">
        <x:v>PED00267</x:v>
      </x:c>
      <x:c r="B268" s="19" t="n">
        <x:v>46161</x:v>
      </x:c>
      <x:c r="C268" s="14" t="str">
        <x:v>CLI0094</x:v>
      </x:c>
      <x:c r="D268" s="14" t="str">
        <x:f>INDEX(Clientes!$B$2:$B$101,MATCH(C268,Clientes!$A$2:$A$101,0))</x:f>
        <x:v>Daniel Pereira Henrique</x:v>
      </x:c>
      <x:c r="E268" s="14" t="str">
        <x:v>PROD009</x:v>
      </x:c>
      <x:c r="F268" s="14" t="str">
        <x:f>INDEX(Produtos!$B$2:$B$11,MATCH(E268,Produtos!$A$2:$A$11,0))</x:f>
        <x:v>Carregador USB-C</x:v>
      </x:c>
      <x:c r="G268" s="18" t="n">
        <x:v>3</x:v>
      </x:c>
      <x:c r="H268" s="17" t="n">
        <x:f>INDEX(Produtos!$D$2:$D$11,MATCH(E268,Produtos!$A$2:$A$11,0))</x:f>
        <x:v>59.9</x:v>
      </x:c>
      <x:c r="I268" s="17" t="n">
        <x:f>G268*H268</x:f>
        <x:v>179.7</x:v>
      </x:c>
      <x:c r="J268" s="14" t="str">
        <x:v>Cartão de crédito</x:v>
      </x:c>
      <x:c r="K268" s="14" t="str">
        <x:v>Entregue</x:v>
      </x:c>
      <x:c r="L268" s="15" t="str">
        <x:f>INDEX(Clientes!$F$2:$F$101,MATCH(C268,Clientes!$A$2:$A$101,0))</x:f>
        <x:v>PR</x:v>
      </x:c>
    </x:row>
    <x:row r="269" ht="20" customHeight="1">
      <x:c r="A269" s="13" t="str">
        <x:v>PED00268</x:v>
      </x:c>
      <x:c r="B269" s="19" t="n">
        <x:v>46054</x:v>
      </x:c>
      <x:c r="C269" s="14" t="str">
        <x:v>CLI0084</x:v>
      </x:c>
      <x:c r="D269" s="14" t="str">
        <x:f>INDEX(Clientes!$B$2:$B$101,MATCH(C269,Clientes!$A$2:$A$101,0))</x:f>
        <x:v>Lucas Ibrahim Garcia</x:v>
      </x:c>
      <x:c r="E269" s="14" t="str">
        <x:v>PROD009</x:v>
      </x:c>
      <x:c r="F269" s="14" t="str">
        <x:f>INDEX(Produtos!$B$2:$B$11,MATCH(E269,Produtos!$A$2:$A$11,0))</x:f>
        <x:v>Carregador USB-C</x:v>
      </x:c>
      <x:c r="G269" s="18" t="n">
        <x:v>1</x:v>
      </x:c>
      <x:c r="H269" s="17" t="n">
        <x:f>INDEX(Produtos!$D$2:$D$11,MATCH(E269,Produtos!$A$2:$A$11,0))</x:f>
        <x:v>59.9</x:v>
      </x:c>
      <x:c r="I269" s="17" t="n">
        <x:f>G269*H269</x:f>
        <x:v>59.9</x:v>
      </x:c>
      <x:c r="J269" s="14" t="str">
        <x:v>Boleto</x:v>
      </x:c>
      <x:c r="K269" s="14" t="str">
        <x:v>Processando</x:v>
      </x:c>
      <x:c r="L269" s="15" t="str">
        <x:f>INDEX(Clientes!$F$2:$F$101,MATCH(C269,Clientes!$A$2:$A$101,0))</x:f>
        <x:v>PR</x:v>
      </x:c>
    </x:row>
    <x:row r="270" ht="20" customHeight="1">
      <x:c r="A270" s="13" t="str">
        <x:v>PED00269</x:v>
      </x:c>
      <x:c r="B270" s="19" t="n">
        <x:v>46285</x:v>
      </x:c>
      <x:c r="C270" s="14" t="str">
        <x:v>CLI0038</x:v>
      </x:c>
      <x:c r="D270" s="14" t="str">
        <x:f>INDEX(Clientes!$B$2:$B$101,MATCH(C270,Clientes!$A$2:$A$101,0))</x:f>
        <x:v>Pedro Ramos Junqueira</x:v>
      </x:c>
      <x:c r="E270" s="14" t="str">
        <x:v>PROD009</x:v>
      </x:c>
      <x:c r="F270" s="14" t="str">
        <x:f>INDEX(Produtos!$B$2:$B$11,MATCH(E270,Produtos!$A$2:$A$11,0))</x:f>
        <x:v>Carregador USB-C</x:v>
      </x:c>
      <x:c r="G270" s="18" t="n">
        <x:v>7</x:v>
      </x:c>
      <x:c r="H270" s="17" t="n">
        <x:f>INDEX(Produtos!$D$2:$D$11,MATCH(E270,Produtos!$A$2:$A$11,0))</x:f>
        <x:v>59.9</x:v>
      </x:c>
      <x:c r="I270" s="17" t="n">
        <x:f>G270*H270</x:f>
        <x:v>419.3</x:v>
      </x:c>
      <x:c r="J270" s="14" t="str">
        <x:v>Cartão de crédito</x:v>
      </x:c>
      <x:c r="K270" s="14" t="str">
        <x:v>Entregue</x:v>
      </x:c>
      <x:c r="L270" s="15" t="str">
        <x:f>INDEX(Clientes!$F$2:$F$101,MATCH(C270,Clientes!$A$2:$A$101,0))</x:f>
        <x:v>SC</x:v>
      </x:c>
    </x:row>
    <x:row r="271" ht="20" customHeight="1">
      <x:c r="A271" s="13" t="str">
        <x:v>PED00270</x:v>
      </x:c>
      <x:c r="B271" s="19" t="n">
        <x:v>46054</x:v>
      </x:c>
      <x:c r="C271" s="14" t="str">
        <x:v>CLI0064</x:v>
      </x:c>
      <x:c r="D271" s="14" t="str">
        <x:f>INDEX(Clientes!$B$2:$B$101,MATCH(C271,Clientes!$A$2:$A$101,0))</x:f>
        <x:v>Leonardo Ibrahim Machado</x:v>
      </x:c>
      <x:c r="E271" s="14" t="str">
        <x:v>PROD003</x:v>
      </x:c>
      <x:c r="F271" s="14" t="str">
        <x:f>INDEX(Produtos!$B$2:$B$11,MATCH(E271,Produtos!$A$2:$A$11,0))</x:f>
        <x:v>Fone Bluetooth</x:v>
      </x:c>
      <x:c r="G271" s="18" t="n">
        <x:v>5</x:v>
      </x:c>
      <x:c r="H271" s="17" t="n">
        <x:f>INDEX(Produtos!$D$2:$D$11,MATCH(E271,Produtos!$A$2:$A$11,0))</x:f>
        <x:v>129.9</x:v>
      </x:c>
      <x:c r="I271" s="17" t="n">
        <x:f>G271*H271</x:f>
        <x:v>649.5</x:v>
      </x:c>
      <x:c r="J271" s="14" t="str">
        <x:v>Boleto</x:v>
      </x:c>
      <x:c r="K271" s="14" t="str">
        <x:v>Processando</x:v>
      </x:c>
      <x:c r="L271" s="15" t="str">
        <x:f>INDEX(Clientes!$F$2:$F$101,MATCH(C271,Clientes!$A$2:$A$101,0))</x:f>
        <x:v>SP</x:v>
      </x:c>
    </x:row>
    <x:row r="272" ht="20" customHeight="1">
      <x:c r="A272" s="13" t="str">
        <x:v>PED00271</x:v>
      </x:c>
      <x:c r="B272" s="19" t="n">
        <x:v>46134</x:v>
      </x:c>
      <x:c r="C272" s="14" t="str">
        <x:v>CLI0086</x:v>
      </x:c>
      <x:c r="D272" s="14" t="str">
        <x:f>INDEX(Clientes!$B$2:$B$101,MATCH(C272,Clientes!$A$2:$A$101,0))</x:f>
        <x:v>Pedro Lopes Henrique</x:v>
      </x:c>
      <x:c r="E272" s="14" t="str">
        <x:v>PROD003</x:v>
      </x:c>
      <x:c r="F272" s="14" t="str">
        <x:f>INDEX(Produtos!$B$2:$B$11,MATCH(E272,Produtos!$A$2:$A$11,0))</x:f>
        <x:v>Fone Bluetooth</x:v>
      </x:c>
      <x:c r="G272" s="18" t="n">
        <x:v>3</x:v>
      </x:c>
      <x:c r="H272" s="17" t="n">
        <x:f>INDEX(Produtos!$D$2:$D$11,MATCH(E272,Produtos!$A$2:$A$11,0))</x:f>
        <x:v>129.9</x:v>
      </x:c>
      <x:c r="I272" s="17" t="n">
        <x:f>G272*H272</x:f>
        <x:v>389.70000000000005</x:v>
      </x:c>
      <x:c r="J272" s="14" t="str">
        <x:v>Cartão de crédito</x:v>
      </x:c>
      <x:c r="K272" s="14" t="str">
        <x:v>Entregue</x:v>
      </x:c>
      <x:c r="L272" s="15" t="str">
        <x:f>INDEX(Clientes!$F$2:$F$101,MATCH(C272,Clientes!$A$2:$A$101,0))</x:f>
        <x:v>PR</x:v>
      </x:c>
    </x:row>
    <x:row r="273" ht="20" customHeight="1">
      <x:c r="A273" s="13" t="str">
        <x:v>PED00272</x:v>
      </x:c>
      <x:c r="B273" s="19" t="n">
        <x:v>46048</x:v>
      </x:c>
      <x:c r="C273" s="14" t="str">
        <x:v>CLI0072</x:v>
      </x:c>
      <x:c r="D273" s="14" t="str">
        <x:f>INDEX(Clientes!$B$2:$B$101,MATCH(C273,Clientes!$A$2:$A$101,0))</x:f>
        <x:v>Leonardo Farias Dias</x:v>
      </x:c>
      <x:c r="E273" s="14" t="str">
        <x:v>PROD003</x:v>
      </x:c>
      <x:c r="F273" s="14" t="str">
        <x:f>INDEX(Produtos!$B$2:$B$11,MATCH(E273,Produtos!$A$2:$A$11,0))</x:f>
        <x:v>Fone Bluetooth</x:v>
      </x:c>
      <x:c r="G273" s="18" t="n">
        <x:v>1</x:v>
      </x:c>
      <x:c r="H273" s="17" t="n">
        <x:f>INDEX(Produtos!$D$2:$D$11,MATCH(E273,Produtos!$A$2:$A$11,0))</x:f>
        <x:v>129.9</x:v>
      </x:c>
      <x:c r="I273" s="17" t="n">
        <x:f>G273*H273</x:f>
        <x:v>129.9</x:v>
      </x:c>
      <x:c r="J273" s="14" t="str">
        <x:v>Boleto</x:v>
      </x:c>
      <x:c r="K273" s="14" t="str">
        <x:v>Processando</x:v>
      </x:c>
      <x:c r="L273" s="15" t="str">
        <x:f>INDEX(Clientes!$F$2:$F$101,MATCH(C273,Clientes!$A$2:$A$101,0))</x:f>
        <x:v>SP</x:v>
      </x:c>
    </x:row>
    <x:row r="274" ht="20" customHeight="1">
      <x:c r="A274" s="13" t="str">
        <x:v>PED00273</x:v>
      </x:c>
      <x:c r="B274" s="19" t="n">
        <x:v>46053</x:v>
      </x:c>
      <x:c r="C274" s="14" t="str">
        <x:v>CLI0094</x:v>
      </x:c>
      <x:c r="D274" s="14" t="str">
        <x:f>INDEX(Clientes!$B$2:$B$101,MATCH(C274,Clientes!$A$2:$A$101,0))</x:f>
        <x:v>Daniel Pereira Henrique</x:v>
      </x:c>
      <x:c r="E274" s="14" t="str">
        <x:v>PROD003</x:v>
      </x:c>
      <x:c r="F274" s="14" t="str">
        <x:f>INDEX(Produtos!$B$2:$B$11,MATCH(E274,Produtos!$A$2:$A$11,0))</x:f>
        <x:v>Fone Bluetooth</x:v>
      </x:c>
      <x:c r="G274" s="18" t="n">
        <x:v>7</x:v>
      </x:c>
      <x:c r="H274" s="17" t="n">
        <x:f>INDEX(Produtos!$D$2:$D$11,MATCH(E274,Produtos!$A$2:$A$11,0))</x:f>
        <x:v>129.9</x:v>
      </x:c>
      <x:c r="I274" s="17" t="n">
        <x:f>G274*H274</x:f>
        <x:v>909.3000000000001</x:v>
      </x:c>
      <x:c r="J274" s="14" t="str">
        <x:v>Cartão de crédito</x:v>
      </x:c>
      <x:c r="K274" s="14" t="str">
        <x:v>Entregue</x:v>
      </x:c>
      <x:c r="L274" s="15" t="str">
        <x:f>INDEX(Clientes!$F$2:$F$101,MATCH(C274,Clientes!$A$2:$A$101,0))</x:f>
        <x:v>PR</x:v>
      </x:c>
    </x:row>
    <x:row r="275" ht="20" customHeight="1">
      <x:c r="A275" s="13" t="str">
        <x:v>PED00274</x:v>
      </x:c>
      <x:c r="B275" s="19" t="n">
        <x:v>46079</x:v>
      </x:c>
      <x:c r="C275" s="14" t="str">
        <x:v>CLI0048</x:v>
      </x:c>
      <x:c r="D275" s="14" t="str">
        <x:f>INDEX(Clientes!$B$2:$B$101,MATCH(C275,Clientes!$A$2:$A$101,0))</x:f>
        <x:v>Daniel Nascimento Barbosa</x:v>
      </x:c>
      <x:c r="E275" s="14" t="str">
        <x:v>PROD005</x:v>
      </x:c>
      <x:c r="F275" s="14" t="str">
        <x:f>INDEX(Produtos!$B$2:$B$11,MATCH(E275,Produtos!$A$2:$A$11,0))</x:f>
        <x:v>Luminária de Mesa LED</x:v>
      </x:c>
      <x:c r="G275" s="18" t="n">
        <x:v>5</x:v>
      </x:c>
      <x:c r="H275" s="17" t="n">
        <x:f>INDEX(Produtos!$D$2:$D$11,MATCH(E275,Produtos!$A$2:$A$11,0))</x:f>
        <x:v>89.5</x:v>
      </x:c>
      <x:c r="I275" s="17" t="n">
        <x:f>G275*H275</x:f>
        <x:v>447.5</x:v>
      </x:c>
      <x:c r="J275" s="14" t="str">
        <x:v>Boleto</x:v>
      </x:c>
      <x:c r="K275" s="14" t="str">
        <x:v>Processando</x:v>
      </x:c>
      <x:c r="L275" s="15" t="str">
        <x:f>INDEX(Clientes!$F$2:$F$101,MATCH(C275,Clientes!$A$2:$A$101,0))</x:f>
        <x:v>SP</x:v>
      </x:c>
    </x:row>
    <x:row r="276" ht="20" customHeight="1">
      <x:c r="A276" s="13" t="str">
        <x:v>PED00275</x:v>
      </x:c>
      <x:c r="B276" s="19" t="n">
        <x:v>46150</x:v>
      </x:c>
      <x:c r="C276" s="14" t="str">
        <x:v>CLI0086</x:v>
      </x:c>
      <x:c r="D276" s="14" t="str">
        <x:f>INDEX(Clientes!$B$2:$B$101,MATCH(C276,Clientes!$A$2:$A$101,0))</x:f>
        <x:v>Pedro Lopes Henrique</x:v>
      </x:c>
      <x:c r="E276" s="14" t="str">
        <x:v>PROD001</x:v>
      </x:c>
      <x:c r="F276" s="14" t="str">
        <x:f>INDEX(Produtos!$B$2:$B$11,MATCH(E276,Produtos!$A$2:$A$11,0))</x:f>
        <x:v>Caderno Universitário</x:v>
      </x:c>
      <x:c r="G276" s="18" t="n">
        <x:v>3</x:v>
      </x:c>
      <x:c r="H276" s="17" t="n">
        <x:f>INDEX(Produtos!$D$2:$D$11,MATCH(E276,Produtos!$A$2:$A$11,0))</x:f>
        <x:v>24.9</x:v>
      </x:c>
      <x:c r="I276" s="17" t="n">
        <x:f>G276*H276</x:f>
        <x:v>74.69999999999999</x:v>
      </x:c>
      <x:c r="J276" s="14" t="str">
        <x:v>Cartão de crédito</x:v>
      </x:c>
      <x:c r="K276" s="14" t="str">
        <x:v>Entregue</x:v>
      </x:c>
      <x:c r="L276" s="15" t="str">
        <x:f>INDEX(Clientes!$F$2:$F$101,MATCH(C276,Clientes!$A$2:$A$101,0))</x:f>
        <x:v>PR</x:v>
      </x:c>
    </x:row>
    <x:row r="277" ht="20" customHeight="1">
      <x:c r="A277" s="13" t="str">
        <x:v>PED00276</x:v>
      </x:c>
      <x:c r="B277" s="19" t="n">
        <x:v>46079</x:v>
      </x:c>
      <x:c r="C277" s="14" t="str">
        <x:v>CLI0004</x:v>
      </x:c>
      <x:c r="D277" s="14" t="str">
        <x:f>INDEX(Clientes!$B$2:$B$101,MATCH(C277,Clientes!$A$2:$A$101,0))</x:f>
        <x:v>Enzo Ibrahim Queiroz</x:v>
      </x:c>
      <x:c r="E277" s="14" t="str">
        <x:v>PROD007</x:v>
      </x:c>
      <x:c r="F277" s="14" t="str">
        <x:f>INDEX(Produtos!$B$2:$B$11,MATCH(E277,Produtos!$A$2:$A$11,0))</x:f>
        <x:v>Caneca Cerâmica</x:v>
      </x:c>
      <x:c r="G277" s="18" t="n">
        <x:v>1</x:v>
      </x:c>
      <x:c r="H277" s="17" t="n">
        <x:f>INDEX(Produtos!$D$2:$D$11,MATCH(E277,Produtos!$A$2:$A$11,0))</x:f>
        <x:v>32</x:v>
      </x:c>
      <x:c r="I277" s="17" t="n">
        <x:f>G277*H277</x:f>
        <x:v>32</x:v>
      </x:c>
      <x:c r="J277" s="14" t="str">
        <x:v>Boleto</x:v>
      </x:c>
      <x:c r="K277" s="14" t="str">
        <x:v>Processando</x:v>
      </x:c>
      <x:c r="L277" s="15" t="str">
        <x:f>INDEX(Clientes!$F$2:$F$101,MATCH(C277,Clientes!$A$2:$A$101,0))</x:f>
        <x:v>SP</x:v>
      </x:c>
    </x:row>
    <x:row r="278" ht="20" customHeight="1">
      <x:c r="A278" s="13" t="str">
        <x:v>PED00277</x:v>
      </x:c>
      <x:c r="B278" s="19" t="n">
        <x:v>46238</x:v>
      </x:c>
      <x:c r="C278" s="14" t="str">
        <x:v>CLI0014</x:v>
      </x:c>
      <x:c r="D278" s="14" t="str">
        <x:f>INDEX(Clientes!$B$2:$B$101,MATCH(C278,Clientes!$A$2:$A$101,0))</x:f>
        <x:v>Enzo Andrade Duarte</x:v>
      </x:c>
      <x:c r="E278" s="14" t="str">
        <x:v>PROD003</x:v>
      </x:c>
      <x:c r="F278" s="14" t="str">
        <x:f>INDEX(Produtos!$B$2:$B$11,MATCH(E278,Produtos!$A$2:$A$11,0))</x:f>
        <x:v>Fone Bluetooth</x:v>
      </x:c>
      <x:c r="G278" s="18" t="n">
        <x:v>7</x:v>
      </x:c>
      <x:c r="H278" s="17" t="n">
        <x:f>INDEX(Produtos!$D$2:$D$11,MATCH(E278,Produtos!$A$2:$A$11,0))</x:f>
        <x:v>129.9</x:v>
      </x:c>
      <x:c r="I278" s="17" t="n">
        <x:f>G278*H278</x:f>
        <x:v>909.3000000000001</x:v>
      </x:c>
      <x:c r="J278" s="14" t="str">
        <x:v>Cartão de crédito</x:v>
      </x:c>
      <x:c r="K278" s="14" t="str">
        <x:v>Entregue</x:v>
      </x:c>
      <x:c r="L278" s="15" t="str">
        <x:f>INDEX(Clientes!$F$2:$F$101,MATCH(C278,Clientes!$A$2:$A$101,0))</x:f>
        <x:v>PR</x:v>
      </x:c>
    </x:row>
    <x:row r="279" ht="20" customHeight="1">
      <x:c r="A279" s="13" t="str">
        <x:v>PED00278</x:v>
      </x:c>
      <x:c r="B279" s="19" t="n">
        <x:v>46123</x:v>
      </x:c>
      <x:c r="C279" s="14" t="str">
        <x:v>CLI0084</x:v>
      </x:c>
      <x:c r="D279" s="14" t="str">
        <x:f>INDEX(Clientes!$B$2:$B$101,MATCH(C279,Clientes!$A$2:$A$101,0))</x:f>
        <x:v>Lucas Ibrahim Garcia</x:v>
      </x:c>
      <x:c r="E279" s="14" t="str">
        <x:v>PROD005</x:v>
      </x:c>
      <x:c r="F279" s="14" t="str">
        <x:f>INDEX(Produtos!$B$2:$B$11,MATCH(E279,Produtos!$A$2:$A$11,0))</x:f>
        <x:v>Luminária de Mesa LED</x:v>
      </x:c>
      <x:c r="G279" s="18" t="n">
        <x:v>5</x:v>
      </x:c>
      <x:c r="H279" s="17" t="n">
        <x:f>INDEX(Produtos!$D$2:$D$11,MATCH(E279,Produtos!$A$2:$A$11,0))</x:f>
        <x:v>89.5</x:v>
      </x:c>
      <x:c r="I279" s="17" t="n">
        <x:f>G279*H279</x:f>
        <x:v>447.5</x:v>
      </x:c>
      <x:c r="J279" s="14" t="str">
        <x:v>Boleto</x:v>
      </x:c>
      <x:c r="K279" s="14" t="str">
        <x:v>Processando</x:v>
      </x:c>
      <x:c r="L279" s="15" t="str">
        <x:f>INDEX(Clientes!$F$2:$F$101,MATCH(C279,Clientes!$A$2:$A$101,0))</x:f>
        <x:v>PR</x:v>
      </x:c>
    </x:row>
    <x:row r="280" ht="20" customHeight="1">
      <x:c r="A280" s="13" t="str">
        <x:v>PED00279</x:v>
      </x:c>
      <x:c r="B280" s="19" t="n">
        <x:v>46041</x:v>
      </x:c>
      <x:c r="C280" s="14" t="str">
        <x:v>CLI0034</x:v>
      </x:c>
      <x:c r="D280" s="14" t="str">
        <x:f>INDEX(Clientes!$B$2:$B$101,MATCH(C280,Clientes!$A$2:$A$101,0))</x:f>
        <x:v>Igor Nascimento Garcia</x:v>
      </x:c>
      <x:c r="E280" s="14" t="str">
        <x:v>PROD009</x:v>
      </x:c>
      <x:c r="F280" s="14" t="str">
        <x:f>INDEX(Produtos!$B$2:$B$11,MATCH(E280,Produtos!$A$2:$A$11,0))</x:f>
        <x:v>Carregador USB-C</x:v>
      </x:c>
      <x:c r="G280" s="18" t="n">
        <x:v>3</x:v>
      </x:c>
      <x:c r="H280" s="17" t="n">
        <x:f>INDEX(Produtos!$D$2:$D$11,MATCH(E280,Produtos!$A$2:$A$11,0))</x:f>
        <x:v>59.9</x:v>
      </x:c>
      <x:c r="I280" s="17" t="n">
        <x:f>G280*H280</x:f>
        <x:v>179.7</x:v>
      </x:c>
      <x:c r="J280" s="14" t="str">
        <x:v>Cartão de crédito</x:v>
      </x:c>
      <x:c r="K280" s="14" t="str">
        <x:v>Entregue</x:v>
      </x:c>
      <x:c r="L280" s="15" t="str">
        <x:f>INDEX(Clientes!$F$2:$F$101,MATCH(C280,Clientes!$A$2:$A$101,0))</x:f>
        <x:v>PR</x:v>
      </x:c>
    </x:row>
    <x:row r="281" ht="20" customHeight="1">
      <x:c r="A281" s="13" t="str">
        <x:v>PED00280</x:v>
      </x:c>
      <x:c r="B281" s="19" t="n">
        <x:v>46168</x:v>
      </x:c>
      <x:c r="C281" s="14" t="str">
        <x:v>CLI0044</x:v>
      </x:c>
      <x:c r="D281" s="14" t="str">
        <x:f>INDEX(Clientes!$B$2:$B$101,MATCH(C281,Clientes!$A$2:$A$101,0))</x:f>
        <x:v>Igor Rocha Garcia</x:v>
      </x:c>
      <x:c r="E281" s="14" t="str">
        <x:v>PROD007</x:v>
      </x:c>
      <x:c r="F281" s="14" t="str">
        <x:f>INDEX(Produtos!$B$2:$B$11,MATCH(E281,Produtos!$A$2:$A$11,0))</x:f>
        <x:v>Caneca Cerâmica</x:v>
      </x:c>
      <x:c r="G281" s="18" t="n">
        <x:v>1</x:v>
      </x:c>
      <x:c r="H281" s="17" t="n">
        <x:f>INDEX(Produtos!$D$2:$D$11,MATCH(E281,Produtos!$A$2:$A$11,0))</x:f>
        <x:v>32</x:v>
      </x:c>
      <x:c r="I281" s="17" t="n">
        <x:f>G281*H281</x:f>
        <x:v>32</x:v>
      </x:c>
      <x:c r="J281" s="14" t="str">
        <x:v>Boleto</x:v>
      </x:c>
      <x:c r="K281" s="14" t="str">
        <x:v>Processando</x:v>
      </x:c>
      <x:c r="L281" s="15" t="str">
        <x:f>INDEX(Clientes!$F$2:$F$101,MATCH(C281,Clientes!$A$2:$A$101,0))</x:f>
        <x:v>SC</x:v>
      </x:c>
    </x:row>
    <x:row r="282" ht="20" customHeight="1">
      <x:c r="A282" s="13" t="str">
        <x:v>PED00281</x:v>
      </x:c>
      <x:c r="B282" s="19" t="n">
        <x:v>46110</x:v>
      </x:c>
      <x:c r="C282" s="14" t="str">
        <x:v>CLI0094</x:v>
      </x:c>
      <x:c r="D282" s="14" t="str">
        <x:f>INDEX(Clientes!$B$2:$B$101,MATCH(C282,Clientes!$A$2:$A$101,0))</x:f>
        <x:v>Daniel Pereira Henrique</x:v>
      </x:c>
      <x:c r="E282" s="14" t="str">
        <x:v>PROD007</x:v>
      </x:c>
      <x:c r="F282" s="14" t="str">
        <x:f>INDEX(Produtos!$B$2:$B$11,MATCH(E282,Produtos!$A$2:$A$11,0))</x:f>
        <x:v>Caneca Cerâmica</x:v>
      </x:c>
      <x:c r="G282" s="18" t="n">
        <x:v>7</x:v>
      </x:c>
      <x:c r="H282" s="17" t="n">
        <x:f>INDEX(Produtos!$D$2:$D$11,MATCH(E282,Produtos!$A$2:$A$11,0))</x:f>
        <x:v>32</x:v>
      </x:c>
      <x:c r="I282" s="17" t="n">
        <x:f>G282*H282</x:f>
        <x:v>224</x:v>
      </x:c>
      <x:c r="J282" s="14" t="str">
        <x:v>Cartão de crédito</x:v>
      </x:c>
      <x:c r="K282" s="14" t="str">
        <x:v>Entregue</x:v>
      </x:c>
      <x:c r="L282" s="15" t="str">
        <x:f>INDEX(Clientes!$F$2:$F$101,MATCH(C282,Clientes!$A$2:$A$101,0))</x:f>
        <x:v>PR</x:v>
      </x:c>
    </x:row>
    <x:row r="283" ht="20" customHeight="1">
      <x:c r="A283" s="13" t="str">
        <x:v>PED00282</x:v>
      </x:c>
      <x:c r="B283" s="19" t="n">
        <x:v>46140</x:v>
      </x:c>
      <x:c r="C283" s="14" t="str">
        <x:v>CLI0092</x:v>
      </x:c>
      <x:c r="D283" s="14" t="str">
        <x:f>INDEX(Clientes!$B$2:$B$101,MATCH(C283,Clientes!$A$2:$A$101,0))</x:f>
        <x:v>Henrique Ibrahim Duarte</x:v>
      </x:c>
      <x:c r="E283" s="14" t="str">
        <x:v>PROD003</x:v>
      </x:c>
      <x:c r="F283" s="14" t="str">
        <x:f>INDEX(Produtos!$B$2:$B$11,MATCH(E283,Produtos!$A$2:$A$11,0))</x:f>
        <x:v>Fone Bluetooth</x:v>
      </x:c>
      <x:c r="G283" s="18" t="n">
        <x:v>5</x:v>
      </x:c>
      <x:c r="H283" s="17" t="n">
        <x:f>INDEX(Produtos!$D$2:$D$11,MATCH(E283,Produtos!$A$2:$A$11,0))</x:f>
        <x:v>129.9</x:v>
      </x:c>
      <x:c r="I283" s="17" t="n">
        <x:f>G283*H283</x:f>
        <x:v>649.5</x:v>
      </x:c>
      <x:c r="J283" s="14" t="str">
        <x:v>Boleto</x:v>
      </x:c>
      <x:c r="K283" s="14" t="str">
        <x:v>Processando</x:v>
      </x:c>
      <x:c r="L283" s="15" t="str">
        <x:f>INDEX(Clientes!$F$2:$F$101,MATCH(C283,Clientes!$A$2:$A$101,0))</x:f>
        <x:v>PR</x:v>
      </x:c>
    </x:row>
    <x:row r="284" ht="20" customHeight="1">
      <x:c r="A284" s="13" t="str">
        <x:v>PED00283</x:v>
      </x:c>
      <x:c r="B284" s="19" t="n">
        <x:v>46070</x:v>
      </x:c>
      <x:c r="C284" s="14" t="str">
        <x:v>CLI0050</x:v>
      </x:c>
      <x:c r="D284" s="14" t="str">
        <x:f>INDEX(Clientes!$B$2:$B$101,MATCH(C284,Clientes!$A$2:$A$101,0))</x:f>
        <x:v>Pedro Ramos Dias</x:v>
      </x:c>
      <x:c r="E284" s="14" t="str">
        <x:v>PROD003</x:v>
      </x:c>
      <x:c r="F284" s="14" t="str">
        <x:f>INDEX(Produtos!$B$2:$B$11,MATCH(E284,Produtos!$A$2:$A$11,0))</x:f>
        <x:v>Fone Bluetooth</x:v>
      </x:c>
      <x:c r="G284" s="18" t="n">
        <x:v>3</x:v>
      </x:c>
      <x:c r="H284" s="17" t="n">
        <x:f>INDEX(Produtos!$D$2:$D$11,MATCH(E284,Produtos!$A$2:$A$11,0))</x:f>
        <x:v>129.9</x:v>
      </x:c>
      <x:c r="I284" s="17" t="n">
        <x:f>G284*H284</x:f>
        <x:v>389.70000000000005</x:v>
      </x:c>
      <x:c r="J284" s="14" t="str">
        <x:v>Cartão de crédito</x:v>
      </x:c>
      <x:c r="K284" s="14" t="str">
        <x:v>Entregue</x:v>
      </x:c>
      <x:c r="L284" s="15" t="str">
        <x:f>INDEX(Clientes!$F$2:$F$101,MATCH(C284,Clientes!$A$2:$A$101,0))</x:f>
        <x:v>SC</x:v>
      </x:c>
    </x:row>
    <x:row r="285" ht="20" customHeight="1">
      <x:c r="A285" s="13" t="str">
        <x:v>PED00284</x:v>
      </x:c>
      <x:c r="B285" s="19" t="n">
        <x:v>46255</x:v>
      </x:c>
      <x:c r="C285" s="14" t="str">
        <x:v>CLI0024</x:v>
      </x:c>
      <x:c r="D285" s="14" t="str">
        <x:f>INDEX(Clientes!$B$2:$B$101,MATCH(C285,Clientes!$A$2:$A$101,0))</x:f>
        <x:v>João Cardoso Duarte</x:v>
      </x:c>
      <x:c r="E285" s="14" t="str">
        <x:v>PROD003</x:v>
      </x:c>
      <x:c r="F285" s="14" t="str">
        <x:f>INDEX(Produtos!$B$2:$B$11,MATCH(E285,Produtos!$A$2:$A$11,0))</x:f>
        <x:v>Fone Bluetooth</x:v>
      </x:c>
      <x:c r="G285" s="18" t="n">
        <x:v>1</x:v>
      </x:c>
      <x:c r="H285" s="17" t="n">
        <x:f>INDEX(Produtos!$D$2:$D$11,MATCH(E285,Produtos!$A$2:$A$11,0))</x:f>
        <x:v>129.9</x:v>
      </x:c>
      <x:c r="I285" s="17" t="n">
        <x:f>G285*H285</x:f>
        <x:v>129.9</x:v>
      </x:c>
      <x:c r="J285" s="14" t="str">
        <x:v>Boleto</x:v>
      </x:c>
      <x:c r="K285" s="14" t="str">
        <x:v>Processando</x:v>
      </x:c>
      <x:c r="L285" s="15" t="str">
        <x:f>INDEX(Clientes!$F$2:$F$101,MATCH(C285,Clientes!$A$2:$A$101,0))</x:f>
        <x:v>SP</x:v>
      </x:c>
    </x:row>
    <x:row r="286" ht="20" customHeight="1">
      <x:c r="A286" s="13" t="str">
        <x:v>PED00285</x:v>
      </x:c>
      <x:c r="B286" s="19" t="n">
        <x:v>46285</x:v>
      </x:c>
      <x:c r="C286" s="14" t="str">
        <x:v>CLI0002</x:v>
      </x:c>
      <x:c r="D286" s="14" t="str">
        <x:f>INDEX(Clientes!$B$2:$B$101,MATCH(C286,Clientes!$A$2:$A$101,0))</x:f>
        <x:v>Enzo Cardoso Mendes</x:v>
      </x:c>
      <x:c r="E286" s="14" t="str">
        <x:v>PROD005</x:v>
      </x:c>
      <x:c r="F286" s="14" t="str">
        <x:f>INDEX(Produtos!$B$2:$B$11,MATCH(E286,Produtos!$A$2:$A$11,0))</x:f>
        <x:v>Luminária de Mesa LED</x:v>
      </x:c>
      <x:c r="G286" s="18" t="n">
        <x:v>7</x:v>
      </x:c>
      <x:c r="H286" s="17" t="n">
        <x:f>INDEX(Produtos!$D$2:$D$11,MATCH(E286,Produtos!$A$2:$A$11,0))</x:f>
        <x:v>89.5</x:v>
      </x:c>
      <x:c r="I286" s="17" t="n">
        <x:f>G286*H286</x:f>
        <x:v>626.5</x:v>
      </x:c>
      <x:c r="J286" s="14" t="str">
        <x:v>Cartão de crédito</x:v>
      </x:c>
      <x:c r="K286" s="14" t="str">
        <x:v>Entregue</x:v>
      </x:c>
      <x:c r="L286" s="15" t="str">
        <x:f>INDEX(Clientes!$F$2:$F$101,MATCH(C286,Clientes!$A$2:$A$101,0))</x:f>
        <x:v>PR</x:v>
      </x:c>
    </x:row>
    <x:row r="287" ht="20" customHeight="1">
      <x:c r="A287" s="13" t="str">
        <x:v>PED00286</x:v>
      </x:c>
      <x:c r="B287" s="19" t="n">
        <x:v>46125</x:v>
      </x:c>
      <x:c r="C287" s="14" t="str">
        <x:v>CLI0092</x:v>
      </x:c>
      <x:c r="D287" s="14" t="str">
        <x:f>INDEX(Clientes!$B$2:$B$101,MATCH(C287,Clientes!$A$2:$A$101,0))</x:f>
        <x:v>Henrique Ibrahim Duarte</x:v>
      </x:c>
      <x:c r="E287" s="14" t="str">
        <x:v>PROD003</x:v>
      </x:c>
      <x:c r="F287" s="14" t="str">
        <x:f>INDEX(Produtos!$B$2:$B$11,MATCH(E287,Produtos!$A$2:$A$11,0))</x:f>
        <x:v>Fone Bluetooth</x:v>
      </x:c>
      <x:c r="G287" s="18" t="n">
        <x:v>5</x:v>
      </x:c>
      <x:c r="H287" s="17" t="n">
        <x:f>INDEX(Produtos!$D$2:$D$11,MATCH(E287,Produtos!$A$2:$A$11,0))</x:f>
        <x:v>129.9</x:v>
      </x:c>
      <x:c r="I287" s="17" t="n">
        <x:f>G287*H287</x:f>
        <x:v>649.5</x:v>
      </x:c>
      <x:c r="J287" s="14" t="str">
        <x:v>Boleto</x:v>
      </x:c>
      <x:c r="K287" s="14" t="str">
        <x:v>Processando</x:v>
      </x:c>
      <x:c r="L287" s="15" t="str">
        <x:f>INDEX(Clientes!$F$2:$F$101,MATCH(C287,Clientes!$A$2:$A$101,0))</x:f>
        <x:v>PR</x:v>
      </x:c>
    </x:row>
    <x:row r="288" ht="20" customHeight="1">
      <x:c r="A288" s="13" t="str">
        <x:v>PED00287</x:v>
      </x:c>
      <x:c r="B288" s="19" t="n">
        <x:v>46293</x:v>
      </x:c>
      <x:c r="C288" s="14" t="str">
        <x:v>CLI0090</x:v>
      </x:c>
      <x:c r="D288" s="14" t="str">
        <x:f>INDEX(Clientes!$B$2:$B$101,MATCH(C288,Clientes!$A$2:$A$101,0))</x:f>
        <x:v>Bruno Pereira Silva</x:v>
      </x:c>
      <x:c r="E288" s="14" t="str">
        <x:v>PROD007</x:v>
      </x:c>
      <x:c r="F288" s="14" t="str">
        <x:f>INDEX(Produtos!$B$2:$B$11,MATCH(E288,Produtos!$A$2:$A$11,0))</x:f>
        <x:v>Caneca Cerâmica</x:v>
      </x:c>
      <x:c r="G288" s="18" t="n">
        <x:v>3</x:v>
      </x:c>
      <x:c r="H288" s="17" t="n">
        <x:f>INDEX(Produtos!$D$2:$D$11,MATCH(E288,Produtos!$A$2:$A$11,0))</x:f>
        <x:v>32</x:v>
      </x:c>
      <x:c r="I288" s="17" t="n">
        <x:f>G288*H288</x:f>
        <x:v>96</x:v>
      </x:c>
      <x:c r="J288" s="14" t="str">
        <x:v>Cartão de crédito</x:v>
      </x:c>
      <x:c r="K288" s="14" t="str">
        <x:v>Entregue</x:v>
      </x:c>
      <x:c r="L288" s="15" t="str">
        <x:f>INDEX(Clientes!$F$2:$F$101,MATCH(C288,Clientes!$A$2:$A$101,0))</x:f>
        <x:v>BA</x:v>
      </x:c>
    </x:row>
    <x:row r="289" ht="20" customHeight="1">
      <x:c r="A289" s="13" t="str">
        <x:v>PED00288</x:v>
      </x:c>
      <x:c r="B289" s="19" t="n">
        <x:v>46110</x:v>
      </x:c>
      <x:c r="C289" s="14" t="str">
        <x:v>CLI0052</x:v>
      </x:c>
      <x:c r="D289" s="14" t="str">
        <x:f>INDEX(Clientes!$B$2:$B$101,MATCH(C289,Clientes!$A$2:$A$101,0))</x:f>
        <x:v>Caio Rocha Dias</x:v>
      </x:c>
      <x:c r="E289" s="14" t="str">
        <x:v>PROD005</x:v>
      </x:c>
      <x:c r="F289" s="14" t="str">
        <x:f>INDEX(Produtos!$B$2:$B$11,MATCH(E289,Produtos!$A$2:$A$11,0))</x:f>
        <x:v>Luminária de Mesa LED</x:v>
      </x:c>
      <x:c r="G289" s="18" t="n">
        <x:v>1</x:v>
      </x:c>
      <x:c r="H289" s="17" t="n">
        <x:f>INDEX(Produtos!$D$2:$D$11,MATCH(E289,Produtos!$A$2:$A$11,0))</x:f>
        <x:v>89.5</x:v>
      </x:c>
      <x:c r="I289" s="17" t="n">
        <x:f>G289*H289</x:f>
        <x:v>89.5</x:v>
      </x:c>
      <x:c r="J289" s="14" t="str">
        <x:v>Boleto</x:v>
      </x:c>
      <x:c r="K289" s="14" t="str">
        <x:v>Processando</x:v>
      </x:c>
      <x:c r="L289" s="15" t="str">
        <x:f>INDEX(Clientes!$F$2:$F$101,MATCH(C289,Clientes!$A$2:$A$101,0))</x:f>
        <x:v>SP</x:v>
      </x:c>
    </x:row>
    <x:row r="290" ht="20" customHeight="1">
      <x:c r="A290" s="13" t="str">
        <x:v>PED00289</x:v>
      </x:c>
      <x:c r="B290" s="19" t="n">
        <x:v>46107</x:v>
      </x:c>
      <x:c r="C290" s="14" t="str">
        <x:v>CLI0094</x:v>
      </x:c>
      <x:c r="D290" s="14" t="str">
        <x:f>INDEX(Clientes!$B$2:$B$101,MATCH(C290,Clientes!$A$2:$A$101,0))</x:f>
        <x:v>Daniel Pereira Henrique</x:v>
      </x:c>
      <x:c r="E290" s="14" t="str">
        <x:v>PROD001</x:v>
      </x:c>
      <x:c r="F290" s="14" t="str">
        <x:f>INDEX(Produtos!$B$2:$B$11,MATCH(E290,Produtos!$A$2:$A$11,0))</x:f>
        <x:v>Caderno Universitário</x:v>
      </x:c>
      <x:c r="G290" s="18" t="n">
        <x:v>7</x:v>
      </x:c>
      <x:c r="H290" s="17" t="n">
        <x:f>INDEX(Produtos!$D$2:$D$11,MATCH(E290,Produtos!$A$2:$A$11,0))</x:f>
        <x:v>24.9</x:v>
      </x:c>
      <x:c r="I290" s="17" t="n">
        <x:f>G290*H290</x:f>
        <x:v>174.29999999999998</x:v>
      </x:c>
      <x:c r="J290" s="14" t="str">
        <x:v>Cartão de crédito</x:v>
      </x:c>
      <x:c r="K290" s="14" t="str">
        <x:v>Entregue</x:v>
      </x:c>
      <x:c r="L290" s="15" t="str">
        <x:f>INDEX(Clientes!$F$2:$F$101,MATCH(C290,Clientes!$A$2:$A$101,0))</x:f>
        <x:v>PR</x:v>
      </x:c>
    </x:row>
    <x:row r="291" ht="20" customHeight="1">
      <x:c r="A291" s="13" t="str">
        <x:v>PED00290</x:v>
      </x:c>
      <x:c r="B291" s="19" t="n">
        <x:v>46199</x:v>
      </x:c>
      <x:c r="C291" s="14" t="str">
        <x:v>CLI0076</x:v>
      </x:c>
      <x:c r="D291" s="14" t="str">
        <x:f>INDEX(Clientes!$B$2:$B$101,MATCH(C291,Clientes!$A$2:$A$101,0))</x:f>
        <x:v>Vinícius Farias Machado</x:v>
      </x:c>
      <x:c r="E291" s="14" t="str">
        <x:v>PROD001</x:v>
      </x:c>
      <x:c r="F291" s="14" t="str">
        <x:f>INDEX(Produtos!$B$2:$B$11,MATCH(E291,Produtos!$A$2:$A$11,0))</x:f>
        <x:v>Caderno Universitário</x:v>
      </x:c>
      <x:c r="G291" s="18" t="n">
        <x:v>5</x:v>
      </x:c>
      <x:c r="H291" s="17" t="n">
        <x:f>INDEX(Produtos!$D$2:$D$11,MATCH(E291,Produtos!$A$2:$A$11,0))</x:f>
        <x:v>24.9</x:v>
      </x:c>
      <x:c r="I291" s="17" t="n">
        <x:f>G291*H291</x:f>
        <x:v>124.5</x:v>
      </x:c>
      <x:c r="J291" s="14" t="str">
        <x:v>Boleto</x:v>
      </x:c>
      <x:c r="K291" s="14" t="str">
        <x:v>Processando</x:v>
      </x:c>
      <x:c r="L291" s="15" t="str">
        <x:f>INDEX(Clientes!$F$2:$F$101,MATCH(C291,Clientes!$A$2:$A$101,0))</x:f>
        <x:v>BA</x:v>
      </x:c>
    </x:row>
    <x:row r="292" ht="20" customHeight="1">
      <x:c r="A292" s="13" t="str">
        <x:v>PED00291</x:v>
      </x:c>
      <x:c r="B292" s="19" t="n">
        <x:v>46286</x:v>
      </x:c>
      <x:c r="C292" s="14" t="str">
        <x:v>CLI0010</x:v>
      </x:c>
      <x:c r="D292" s="14" t="str">
        <x:f>INDEX(Clientes!$B$2:$B$101,MATCH(C292,Clientes!$A$2:$A$101,0))</x:f>
        <x:v>Samuel Almeida Henrique</x:v>
      </x:c>
      <x:c r="E292" s="14" t="str">
        <x:v>PROD009</x:v>
      </x:c>
      <x:c r="F292" s="14" t="str">
        <x:f>INDEX(Produtos!$B$2:$B$11,MATCH(E292,Produtos!$A$2:$A$11,0))</x:f>
        <x:v>Carregador USB-C</x:v>
      </x:c>
      <x:c r="G292" s="18" t="n">
        <x:v>3</x:v>
      </x:c>
      <x:c r="H292" s="17" t="n">
        <x:f>INDEX(Produtos!$D$2:$D$11,MATCH(E292,Produtos!$A$2:$A$11,0))</x:f>
        <x:v>59.9</x:v>
      </x:c>
      <x:c r="I292" s="17" t="n">
        <x:f>G292*H292</x:f>
        <x:v>179.7</x:v>
      </x:c>
      <x:c r="J292" s="14" t="str">
        <x:v>Cartão de crédito</x:v>
      </x:c>
      <x:c r="K292" s="14" t="str">
        <x:v>Entregue</x:v>
      </x:c>
      <x:c r="L292" s="15" t="str">
        <x:f>INDEX(Clientes!$F$2:$F$101,MATCH(C292,Clientes!$A$2:$A$101,0))</x:f>
        <x:v>PR</x:v>
      </x:c>
    </x:row>
    <x:row r="293" ht="20" customHeight="1">
      <x:c r="A293" s="13" t="str">
        <x:v>PED00292</x:v>
      </x:c>
      <x:c r="B293" s="19" t="n">
        <x:v>46044</x:v>
      </x:c>
      <x:c r="C293" s="14" t="str">
        <x:v>CLI0064</x:v>
      </x:c>
      <x:c r="D293" s="14" t="str">
        <x:f>INDEX(Clientes!$B$2:$B$101,MATCH(C293,Clientes!$A$2:$A$101,0))</x:f>
        <x:v>Leonardo Ibrahim Machado</x:v>
      </x:c>
      <x:c r="E293" s="14" t="str">
        <x:v>PROD005</x:v>
      </x:c>
      <x:c r="F293" s="14" t="str">
        <x:f>INDEX(Produtos!$B$2:$B$11,MATCH(E293,Produtos!$A$2:$A$11,0))</x:f>
        <x:v>Luminária de Mesa LED</x:v>
      </x:c>
      <x:c r="G293" s="18" t="n">
        <x:v>1</x:v>
      </x:c>
      <x:c r="H293" s="17" t="n">
        <x:f>INDEX(Produtos!$D$2:$D$11,MATCH(E293,Produtos!$A$2:$A$11,0))</x:f>
        <x:v>89.5</x:v>
      </x:c>
      <x:c r="I293" s="17" t="n">
        <x:f>G293*H293</x:f>
        <x:v>89.5</x:v>
      </x:c>
      <x:c r="J293" s="14" t="str">
        <x:v>Boleto</x:v>
      </x:c>
      <x:c r="K293" s="14" t="str">
        <x:v>Processando</x:v>
      </x:c>
      <x:c r="L293" s="15" t="str">
        <x:f>INDEX(Clientes!$F$2:$F$101,MATCH(C293,Clientes!$A$2:$A$101,0))</x:f>
        <x:v>SP</x:v>
      </x:c>
    </x:row>
    <x:row r="294" ht="20" customHeight="1">
      <x:c r="A294" s="13" t="str">
        <x:v>PED00293</x:v>
      </x:c>
      <x:c r="B294" s="19" t="n">
        <x:v>46241</x:v>
      </x:c>
      <x:c r="C294" s="14" t="str">
        <x:v>CLI0026</x:v>
      </x:c>
      <x:c r="D294" s="14" t="str">
        <x:f>INDEX(Clientes!$B$2:$B$101,MATCH(C294,Clientes!$A$2:$A$101,0))</x:f>
        <x:v>Henrique Lopes Henrique</x:v>
      </x:c>
      <x:c r="E294" s="14" t="str">
        <x:v>PROD009</x:v>
      </x:c>
      <x:c r="F294" s="14" t="str">
        <x:f>INDEX(Produtos!$B$2:$B$11,MATCH(E294,Produtos!$A$2:$A$11,0))</x:f>
        <x:v>Carregador USB-C</x:v>
      </x:c>
      <x:c r="G294" s="18" t="n">
        <x:v>7</x:v>
      </x:c>
      <x:c r="H294" s="17" t="n">
        <x:f>INDEX(Produtos!$D$2:$D$11,MATCH(E294,Produtos!$A$2:$A$11,0))</x:f>
        <x:v>59.9</x:v>
      </x:c>
      <x:c r="I294" s="17" t="n">
        <x:f>G294*H294</x:f>
        <x:v>419.3</x:v>
      </x:c>
      <x:c r="J294" s="14" t="str">
        <x:v>Cartão de crédito</x:v>
      </x:c>
      <x:c r="K294" s="14" t="str">
        <x:v>Entregue</x:v>
      </x:c>
      <x:c r="L294" s="15" t="str">
        <x:f>INDEX(Clientes!$F$2:$F$101,MATCH(C294,Clientes!$A$2:$A$101,0))</x:f>
        <x:v>SP</x:v>
      </x:c>
    </x:row>
    <x:row r="295" ht="20" customHeight="1">
      <x:c r="A295" s="13" t="str">
        <x:v>PED00294</x:v>
      </x:c>
      <x:c r="B295" s="19" t="n">
        <x:v>46215</x:v>
      </x:c>
      <x:c r="C295" s="14" t="str">
        <x:v>CLI0052</x:v>
      </x:c>
      <x:c r="D295" s="14" t="str">
        <x:f>INDEX(Clientes!$B$2:$B$101,MATCH(C295,Clientes!$A$2:$A$101,0))</x:f>
        <x:v>Caio Rocha Dias</x:v>
      </x:c>
      <x:c r="E295" s="14" t="str">
        <x:v>PROD005</x:v>
      </x:c>
      <x:c r="F295" s="14" t="str">
        <x:f>INDEX(Produtos!$B$2:$B$11,MATCH(E295,Produtos!$A$2:$A$11,0))</x:f>
        <x:v>Luminária de Mesa LED</x:v>
      </x:c>
      <x:c r="G295" s="18" t="n">
        <x:v>5</x:v>
      </x:c>
      <x:c r="H295" s="17" t="n">
        <x:f>INDEX(Produtos!$D$2:$D$11,MATCH(E295,Produtos!$A$2:$A$11,0))</x:f>
        <x:v>89.5</x:v>
      </x:c>
      <x:c r="I295" s="17" t="n">
        <x:f>G295*H295</x:f>
        <x:v>447.5</x:v>
      </x:c>
      <x:c r="J295" s="14" t="str">
        <x:v>Boleto</x:v>
      </x:c>
      <x:c r="K295" s="14" t="str">
        <x:v>Processando</x:v>
      </x:c>
      <x:c r="L295" s="15" t="str">
        <x:f>INDEX(Clientes!$F$2:$F$101,MATCH(C295,Clientes!$A$2:$A$101,0))</x:f>
        <x:v>SP</x:v>
      </x:c>
    </x:row>
    <x:row r="296" ht="20" customHeight="1">
      <x:c r="A296" s="13" t="str">
        <x:v>PED00295</x:v>
      </x:c>
      <x:c r="B296" s="19" t="n">
        <x:v>46160</x:v>
      </x:c>
      <x:c r="C296" s="14" t="str">
        <x:v>CLI0026</x:v>
      </x:c>
      <x:c r="D296" s="14" t="str">
        <x:f>INDEX(Clientes!$B$2:$B$101,MATCH(C296,Clientes!$A$2:$A$101,0))</x:f>
        <x:v>Henrique Lopes Henrique</x:v>
      </x:c>
      <x:c r="E296" s="14" t="str">
        <x:v>PROD009</x:v>
      </x:c>
      <x:c r="F296" s="14" t="str">
        <x:f>INDEX(Produtos!$B$2:$B$11,MATCH(E296,Produtos!$A$2:$A$11,0))</x:f>
        <x:v>Carregador USB-C</x:v>
      </x:c>
      <x:c r="G296" s="18" t="n">
        <x:v>3</x:v>
      </x:c>
      <x:c r="H296" s="17" t="n">
        <x:f>INDEX(Produtos!$D$2:$D$11,MATCH(E296,Produtos!$A$2:$A$11,0))</x:f>
        <x:v>59.9</x:v>
      </x:c>
      <x:c r="I296" s="17" t="n">
        <x:f>G296*H296</x:f>
        <x:v>179.7</x:v>
      </x:c>
      <x:c r="J296" s="14" t="str">
        <x:v>Cartão de crédito</x:v>
      </x:c>
      <x:c r="K296" s="14" t="str">
        <x:v>Entregue</x:v>
      </x:c>
      <x:c r="L296" s="15" t="str">
        <x:f>INDEX(Clientes!$F$2:$F$101,MATCH(C296,Clientes!$A$2:$A$101,0))</x:f>
        <x:v>SP</x:v>
      </x:c>
    </x:row>
    <x:row r="297" ht="20" customHeight="1">
      <x:c r="A297" s="13" t="str">
        <x:v>PED00296</x:v>
      </x:c>
      <x:c r="B297" s="19" t="n">
        <x:v>46255</x:v>
      </x:c>
      <x:c r="C297" s="14" t="str">
        <x:v>CLI0056</x:v>
      </x:c>
      <x:c r="D297" s="14" t="str">
        <x:f>INDEX(Clientes!$B$2:$B$101,MATCH(C297,Clientes!$A$2:$A$101,0))</x:f>
        <x:v>Gustavo Andrade Souza</x:v>
      </x:c>
      <x:c r="E297" s="14" t="str">
        <x:v>PROD009</x:v>
      </x:c>
      <x:c r="F297" s="14" t="str">
        <x:f>INDEX(Produtos!$B$2:$B$11,MATCH(E297,Produtos!$A$2:$A$11,0))</x:f>
        <x:v>Carregador USB-C</x:v>
      </x:c>
      <x:c r="G297" s="18" t="n">
        <x:v>1</x:v>
      </x:c>
      <x:c r="H297" s="17" t="n">
        <x:f>INDEX(Produtos!$D$2:$D$11,MATCH(E297,Produtos!$A$2:$A$11,0))</x:f>
        <x:v>59.9</x:v>
      </x:c>
      <x:c r="I297" s="17" t="n">
        <x:f>G297*H297</x:f>
        <x:v>59.9</x:v>
      </x:c>
      <x:c r="J297" s="14" t="str">
        <x:v>Boleto</x:v>
      </x:c>
      <x:c r="K297" s="14" t="str">
        <x:v>Processando</x:v>
      </x:c>
      <x:c r="L297" s="15" t="str">
        <x:f>INDEX(Clientes!$F$2:$F$101,MATCH(C297,Clientes!$A$2:$A$101,0))</x:f>
        <x:v>PR</x:v>
      </x:c>
    </x:row>
    <x:row r="298" ht="20" customHeight="1">
      <x:c r="A298" s="13" t="str">
        <x:v>PED00297</x:v>
      </x:c>
      <x:c r="B298" s="19" t="n">
        <x:v>46053</x:v>
      </x:c>
      <x:c r="C298" s="14" t="str">
        <x:v>CLI0058</x:v>
      </x:c>
      <x:c r="D298" s="14" t="str">
        <x:f>INDEX(Clientes!$B$2:$B$101,MATCH(C298,Clientes!$A$2:$A$101,0))</x:f>
        <x:v>Igor Pereira Duarte</x:v>
      </x:c>
      <x:c r="E298" s="14" t="str">
        <x:v>PROD007</x:v>
      </x:c>
      <x:c r="F298" s="14" t="str">
        <x:f>INDEX(Produtos!$B$2:$B$11,MATCH(E298,Produtos!$A$2:$A$11,0))</x:f>
        <x:v>Caneca Cerâmica</x:v>
      </x:c>
      <x:c r="G298" s="18" t="n">
        <x:v>7</x:v>
      </x:c>
      <x:c r="H298" s="17" t="n">
        <x:f>INDEX(Produtos!$D$2:$D$11,MATCH(E298,Produtos!$A$2:$A$11,0))</x:f>
        <x:v>32</x:v>
      </x:c>
      <x:c r="I298" s="17" t="n">
        <x:f>G298*H298</x:f>
        <x:v>224</x:v>
      </x:c>
      <x:c r="J298" s="14" t="str">
        <x:v>Cartão de crédito</x:v>
      </x:c>
      <x:c r="K298" s="14" t="str">
        <x:v>Entregue</x:v>
      </x:c>
      <x:c r="L298" s="15" t="str">
        <x:f>INDEX(Clientes!$F$2:$F$101,MATCH(C298,Clientes!$A$2:$A$101,0))</x:f>
        <x:v>MG</x:v>
      </x:c>
    </x:row>
    <x:row r="299" ht="20" customHeight="1">
      <x:c r="A299" s="13" t="str">
        <x:v>PED00298</x:v>
      </x:c>
      <x:c r="B299" s="19" t="n">
        <x:v>46148</x:v>
      </x:c>
      <x:c r="C299" s="14" t="str">
        <x:v>CLI0056</x:v>
      </x:c>
      <x:c r="D299" s="14" t="str">
        <x:f>INDEX(Clientes!$B$2:$B$101,MATCH(C299,Clientes!$A$2:$A$101,0))</x:f>
        <x:v>Gustavo Andrade Souza</x:v>
      </x:c>
      <x:c r="E299" s="14" t="str">
        <x:v>PROD005</x:v>
      </x:c>
      <x:c r="F299" s="14" t="str">
        <x:f>INDEX(Produtos!$B$2:$B$11,MATCH(E299,Produtos!$A$2:$A$11,0))</x:f>
        <x:v>Luminária de Mesa LED</x:v>
      </x:c>
      <x:c r="G299" s="18" t="n">
        <x:v>5</x:v>
      </x:c>
      <x:c r="H299" s="17" t="n">
        <x:f>INDEX(Produtos!$D$2:$D$11,MATCH(E299,Produtos!$A$2:$A$11,0))</x:f>
        <x:v>89.5</x:v>
      </x:c>
      <x:c r="I299" s="17" t="n">
        <x:f>G299*H299</x:f>
        <x:v>447.5</x:v>
      </x:c>
      <x:c r="J299" s="14" t="str">
        <x:v>Boleto</x:v>
      </x:c>
      <x:c r="K299" s="14" t="str">
        <x:v>Processando</x:v>
      </x:c>
      <x:c r="L299" s="15" t="str">
        <x:f>INDEX(Clientes!$F$2:$F$101,MATCH(C299,Clientes!$A$2:$A$101,0))</x:f>
        <x:v>PR</x:v>
      </x:c>
    </x:row>
    <x:row r="300" ht="20" customHeight="1">
      <x:c r="A300" s="13" t="str">
        <x:v>PED00299</x:v>
      </x:c>
      <x:c r="B300" s="19" t="n">
        <x:v>46286</x:v>
      </x:c>
      <x:c r="C300" s="14" t="str">
        <x:v>CLI0070</x:v>
      </x:c>
      <x:c r="D300" s="14" t="str">
        <x:f>INDEX(Clientes!$B$2:$B$101,MATCH(C300,Clientes!$A$2:$A$101,0))</x:f>
        <x:v>Bruno Rocha Barbosa</x:v>
      </x:c>
      <x:c r="E300" s="14" t="str">
        <x:v>PROD005</x:v>
      </x:c>
      <x:c r="F300" s="14" t="str">
        <x:f>INDEX(Produtos!$B$2:$B$11,MATCH(E300,Produtos!$A$2:$A$11,0))</x:f>
        <x:v>Luminária de Mesa LED</x:v>
      </x:c>
      <x:c r="G300" s="18" t="n">
        <x:v>3</x:v>
      </x:c>
      <x:c r="H300" s="17" t="n">
        <x:f>INDEX(Produtos!$D$2:$D$11,MATCH(E300,Produtos!$A$2:$A$11,0))</x:f>
        <x:v>89.5</x:v>
      </x:c>
      <x:c r="I300" s="17" t="n">
        <x:f>G300*H300</x:f>
        <x:v>268.5</x:v>
      </x:c>
      <x:c r="J300" s="14" t="str">
        <x:v>Cartão de crédito</x:v>
      </x:c>
      <x:c r="K300" s="14" t="str">
        <x:v>Entregue</x:v>
      </x:c>
      <x:c r="L300" s="15" t="str">
        <x:f>INDEX(Clientes!$F$2:$F$101,MATCH(C300,Clientes!$A$2:$A$101,0))</x:f>
        <x:v>SC</x:v>
      </x:c>
    </x:row>
    <x:row r="301" ht="20" customHeight="1">
      <x:c r="A301" s="13" t="str">
        <x:v>PED00300</x:v>
      </x:c>
      <x:c r="B301" s="19" t="n">
        <x:v>46274</x:v>
      </x:c>
      <x:c r="C301" s="14" t="str">
        <x:v>CLI0060</x:v>
      </x:c>
      <x:c r="D301" s="14" t="str">
        <x:f>INDEX(Clientes!$B$2:$B$101,MATCH(C301,Clientes!$A$2:$A$101,0))</x:f>
        <x:v>Vinícius Teixeira Duarte</x:v>
      </x:c>
      <x:c r="E301" s="14" t="str">
        <x:v>PROD003</x:v>
      </x:c>
      <x:c r="F301" s="14" t="str">
        <x:f>INDEX(Produtos!$B$2:$B$11,MATCH(E301,Produtos!$A$2:$A$11,0))</x:f>
        <x:v>Fone Bluetooth</x:v>
      </x:c>
      <x:c r="G301" s="18" t="n">
        <x:v>1</x:v>
      </x:c>
      <x:c r="H301" s="17" t="n">
        <x:f>INDEX(Produtos!$D$2:$D$11,MATCH(E301,Produtos!$A$2:$A$11,0))</x:f>
        <x:v>129.9</x:v>
      </x:c>
      <x:c r="I301" s="17" t="n">
        <x:f>G301*H301</x:f>
        <x:v>129.9</x:v>
      </x:c>
      <x:c r="J301" s="14" t="str">
        <x:v>Boleto</x:v>
      </x:c>
      <x:c r="K301" s="14" t="str">
        <x:v>Processando</x:v>
      </x:c>
      <x:c r="L301" s="15" t="str">
        <x:f>INDEX(Clientes!$F$2:$F$101,MATCH(C301,Clientes!$A$2:$A$101,0))</x:f>
        <x:v>MG</x:v>
      </x:c>
    </x:row>
    <x:row r="302" ht="20" customHeight="1">
      <x:c r="A302" s="13" t="str">
        <x:v>PED00301</x:v>
      </x:c>
      <x:c r="B302" s="19" t="n">
        <x:v>46116</x:v>
      </x:c>
      <x:c r="C302" s="14" t="str">
        <x:v>CLI0086</x:v>
      </x:c>
      <x:c r="D302" s="14" t="str">
        <x:f>INDEX(Clientes!$B$2:$B$101,MATCH(C302,Clientes!$A$2:$A$101,0))</x:f>
        <x:v>Pedro Lopes Henrique</x:v>
      </x:c>
      <x:c r="E302" s="14" t="str">
        <x:v>PROD009</x:v>
      </x:c>
      <x:c r="F302" s="14" t="str">
        <x:f>INDEX(Produtos!$B$2:$B$11,MATCH(E302,Produtos!$A$2:$A$11,0))</x:f>
        <x:v>Carregador USB-C</x:v>
      </x:c>
      <x:c r="G302" s="18" t="n">
        <x:v>7</x:v>
      </x:c>
      <x:c r="H302" s="17" t="n">
        <x:f>INDEX(Produtos!$D$2:$D$11,MATCH(E302,Produtos!$A$2:$A$11,0))</x:f>
        <x:v>59.9</x:v>
      </x:c>
      <x:c r="I302" s="17" t="n">
        <x:f>G302*H302</x:f>
        <x:v>419.3</x:v>
      </x:c>
      <x:c r="J302" s="14" t="str">
        <x:v>Cartão de crédito</x:v>
      </x:c>
      <x:c r="K302" s="14" t="str">
        <x:v>Entregue</x:v>
      </x:c>
      <x:c r="L302" s="15" t="str">
        <x:f>INDEX(Clientes!$F$2:$F$101,MATCH(C302,Clientes!$A$2:$A$101,0))</x:f>
        <x:v>PR</x:v>
      </x:c>
    </x:row>
    <x:row r="303" ht="20" customHeight="1">
      <x:c r="A303" s="13" t="str">
        <x:v>PED00302</x:v>
      </x:c>
      <x:c r="B303" s="19" t="n">
        <x:v>46228</x:v>
      </x:c>
      <x:c r="C303" s="14" t="str">
        <x:v>CLI0092</x:v>
      </x:c>
      <x:c r="D303" s="14" t="str">
        <x:f>INDEX(Clientes!$B$2:$B$101,MATCH(C303,Clientes!$A$2:$A$101,0))</x:f>
        <x:v>Henrique Ibrahim Duarte</x:v>
      </x:c>
      <x:c r="E303" s="14" t="str">
        <x:v>PROD001</x:v>
      </x:c>
      <x:c r="F303" s="14" t="str">
        <x:f>INDEX(Produtos!$B$2:$B$11,MATCH(E303,Produtos!$A$2:$A$11,0))</x:f>
        <x:v>Caderno Universitário</x:v>
      </x:c>
      <x:c r="G303" s="18" t="n">
        <x:v>5</x:v>
      </x:c>
      <x:c r="H303" s="17" t="n">
        <x:f>INDEX(Produtos!$D$2:$D$11,MATCH(E303,Produtos!$A$2:$A$11,0))</x:f>
        <x:v>24.9</x:v>
      </x:c>
      <x:c r="I303" s="17" t="n">
        <x:f>G303*H303</x:f>
        <x:v>124.5</x:v>
      </x:c>
      <x:c r="J303" s="14" t="str">
        <x:v>Boleto</x:v>
      </x:c>
      <x:c r="K303" s="14" t="str">
        <x:v>Processando</x:v>
      </x:c>
      <x:c r="L303" s="15" t="str">
        <x:f>INDEX(Clientes!$F$2:$F$101,MATCH(C303,Clientes!$A$2:$A$101,0))</x:f>
        <x:v>PR</x:v>
      </x:c>
    </x:row>
    <x:row r="304" ht="20" customHeight="1">
      <x:c r="A304" s="13" t="str">
        <x:v>PED00303</x:v>
      </x:c>
      <x:c r="B304" s="19" t="n">
        <x:v>46226</x:v>
      </x:c>
      <x:c r="C304" s="14" t="str">
        <x:v>CLI0098</x:v>
      </x:c>
      <x:c r="D304" s="14" t="str">
        <x:f>INDEX(Clientes!$B$2:$B$101,MATCH(C304,Clientes!$A$2:$A$101,0))</x:f>
        <x:v>Pedro Lopes Vargas</x:v>
      </x:c>
      <x:c r="E304" s="14" t="str">
        <x:v>PROD001</x:v>
      </x:c>
      <x:c r="F304" s="14" t="str">
        <x:f>INDEX(Produtos!$B$2:$B$11,MATCH(E304,Produtos!$A$2:$A$11,0))</x:f>
        <x:v>Caderno Universitário</x:v>
      </x:c>
      <x:c r="G304" s="18" t="n">
        <x:v>3</x:v>
      </x:c>
      <x:c r="H304" s="17" t="n">
        <x:f>INDEX(Produtos!$D$2:$D$11,MATCH(E304,Produtos!$A$2:$A$11,0))</x:f>
        <x:v>24.9</x:v>
      </x:c>
      <x:c r="I304" s="17" t="n">
        <x:f>G304*H304</x:f>
        <x:v>74.69999999999999</x:v>
      </x:c>
      <x:c r="J304" s="14" t="str">
        <x:v>Cartão de crédito</x:v>
      </x:c>
      <x:c r="K304" s="14" t="str">
        <x:v>Entregue</x:v>
      </x:c>
      <x:c r="L304" s="15" t="str">
        <x:f>INDEX(Clientes!$F$2:$F$101,MATCH(C304,Clientes!$A$2:$A$101,0))</x:f>
        <x:v>BA</x:v>
      </x:c>
    </x:row>
    <x:row r="305" ht="20" customHeight="1">
      <x:c r="A305" s="13" t="str">
        <x:v>PED00304</x:v>
      </x:c>
      <x:c r="B305" s="19" t="n">
        <x:v>46254</x:v>
      </x:c>
      <x:c r="C305" s="14" t="str">
        <x:v>CLI0064</x:v>
      </x:c>
      <x:c r="D305" s="14" t="str">
        <x:f>INDEX(Clientes!$B$2:$B$101,MATCH(C305,Clientes!$A$2:$A$101,0))</x:f>
        <x:v>Leonardo Ibrahim Machado</x:v>
      </x:c>
      <x:c r="E305" s="14" t="str">
        <x:v>PROD003</x:v>
      </x:c>
      <x:c r="F305" s="14" t="str">
        <x:f>INDEX(Produtos!$B$2:$B$11,MATCH(E305,Produtos!$A$2:$A$11,0))</x:f>
        <x:v>Fone Bluetooth</x:v>
      </x:c>
      <x:c r="G305" s="18" t="n">
        <x:v>1</x:v>
      </x:c>
      <x:c r="H305" s="17" t="n">
        <x:f>INDEX(Produtos!$D$2:$D$11,MATCH(E305,Produtos!$A$2:$A$11,0))</x:f>
        <x:v>129.9</x:v>
      </x:c>
      <x:c r="I305" s="17" t="n">
        <x:f>G305*H305</x:f>
        <x:v>129.9</x:v>
      </x:c>
      <x:c r="J305" s="14" t="str">
        <x:v>Boleto</x:v>
      </x:c>
      <x:c r="K305" s="14" t="str">
        <x:v>Processando</x:v>
      </x:c>
      <x:c r="L305" s="15" t="str">
        <x:f>INDEX(Clientes!$F$2:$F$101,MATCH(C305,Clientes!$A$2:$A$101,0))</x:f>
        <x:v>SP</x:v>
      </x:c>
    </x:row>
    <x:row r="306" ht="20" customHeight="1">
      <x:c r="A306" s="13" t="str">
        <x:v>PED00305</x:v>
      </x:c>
      <x:c r="B306" s="19" t="n">
        <x:v>46048</x:v>
      </x:c>
      <x:c r="C306" s="14" t="str">
        <x:v>CLI0078</x:v>
      </x:c>
      <x:c r="D306" s="14" t="str">
        <x:f>INDEX(Clientes!$B$2:$B$101,MATCH(C306,Clientes!$A$2:$A$101,0))</x:f>
        <x:v>Lucas Gomes Queiroz</x:v>
      </x:c>
      <x:c r="E306" s="14" t="str">
        <x:v>PROD007</x:v>
      </x:c>
      <x:c r="F306" s="14" t="str">
        <x:f>INDEX(Produtos!$B$2:$B$11,MATCH(E306,Produtos!$A$2:$A$11,0))</x:f>
        <x:v>Caneca Cerâmica</x:v>
      </x:c>
      <x:c r="G306" s="18" t="n">
        <x:v>7</x:v>
      </x:c>
      <x:c r="H306" s="17" t="n">
        <x:f>INDEX(Produtos!$D$2:$D$11,MATCH(E306,Produtos!$A$2:$A$11,0))</x:f>
        <x:v>32</x:v>
      </x:c>
      <x:c r="I306" s="17" t="n">
        <x:f>G306*H306</x:f>
        <x:v>224</x:v>
      </x:c>
      <x:c r="J306" s="14" t="str">
        <x:v>Cartão de crédito</x:v>
      </x:c>
      <x:c r="K306" s="14" t="str">
        <x:v>Entregue</x:v>
      </x:c>
      <x:c r="L306" s="15" t="str">
        <x:f>INDEX(Clientes!$F$2:$F$101,MATCH(C306,Clientes!$A$2:$A$101,0))</x:f>
        <x:v>SP</x:v>
      </x:c>
    </x:row>
    <x:row r="307" ht="20" customHeight="1">
      <x:c r="A307" s="13" t="str">
        <x:v>PED00306</x:v>
      </x:c>
      <x:c r="B307" s="19" t="n">
        <x:v>46287</x:v>
      </x:c>
      <x:c r="C307" s="14" t="str">
        <x:v>CLI0060</x:v>
      </x:c>
      <x:c r="D307" s="14" t="str">
        <x:f>INDEX(Clientes!$B$2:$B$101,MATCH(C307,Clientes!$A$2:$A$101,0))</x:f>
        <x:v>Vinícius Teixeira Duarte</x:v>
      </x:c>
      <x:c r="E307" s="14" t="str">
        <x:v>PROD003</x:v>
      </x:c>
      <x:c r="F307" s="14" t="str">
        <x:f>INDEX(Produtos!$B$2:$B$11,MATCH(E307,Produtos!$A$2:$A$11,0))</x:f>
        <x:v>Fone Bluetooth</x:v>
      </x:c>
      <x:c r="G307" s="18" t="n">
        <x:v>5</x:v>
      </x:c>
      <x:c r="H307" s="17" t="n">
        <x:f>INDEX(Produtos!$D$2:$D$11,MATCH(E307,Produtos!$A$2:$A$11,0))</x:f>
        <x:v>129.9</x:v>
      </x:c>
      <x:c r="I307" s="17" t="n">
        <x:f>G307*H307</x:f>
        <x:v>649.5</x:v>
      </x:c>
      <x:c r="J307" s="14" t="str">
        <x:v>Boleto</x:v>
      </x:c>
      <x:c r="K307" s="14" t="str">
        <x:v>Processando</x:v>
      </x:c>
      <x:c r="L307" s="15" t="str">
        <x:f>INDEX(Clientes!$F$2:$F$101,MATCH(C307,Clientes!$A$2:$A$101,0))</x:f>
        <x:v>MG</x:v>
      </x:c>
    </x:row>
    <x:row r="308" ht="20" customHeight="1">
      <x:c r="A308" s="13" t="str">
        <x:v>PED00307</x:v>
      </x:c>
      <x:c r="B308" s="19" t="n">
        <x:v>46043</x:v>
      </x:c>
      <x:c r="C308" s="14" t="str">
        <x:v>CLI0030</x:v>
      </x:c>
      <x:c r="D308" s="14" t="str">
        <x:f>INDEX(Clientes!$B$2:$B$101,MATCH(C308,Clientes!$A$2:$A$101,0))</x:f>
        <x:v>Henrique Gomes Batista</x:v>
      </x:c>
      <x:c r="E308" s="14" t="str">
        <x:v>PROD007</x:v>
      </x:c>
      <x:c r="F308" s="14" t="str">
        <x:f>INDEX(Produtos!$B$2:$B$11,MATCH(E308,Produtos!$A$2:$A$11,0))</x:f>
        <x:v>Caneca Cerâmica</x:v>
      </x:c>
      <x:c r="G308" s="18" t="n">
        <x:v>3</x:v>
      </x:c>
      <x:c r="H308" s="17" t="n">
        <x:f>INDEX(Produtos!$D$2:$D$11,MATCH(E308,Produtos!$A$2:$A$11,0))</x:f>
        <x:v>32</x:v>
      </x:c>
      <x:c r="I308" s="17" t="n">
        <x:f>G308*H308</x:f>
        <x:v>96</x:v>
      </x:c>
      <x:c r="J308" s="14" t="str">
        <x:v>Cartão de crédito</x:v>
      </x:c>
      <x:c r="K308" s="14" t="str">
        <x:v>Entregue</x:v>
      </x:c>
      <x:c r="L308" s="15" t="str">
        <x:f>INDEX(Clientes!$F$2:$F$101,MATCH(C308,Clientes!$A$2:$A$101,0))</x:f>
        <x:v>SP</x:v>
      </x:c>
    </x:row>
    <x:row r="309" ht="20" customHeight="1">
      <x:c r="A309" s="13" t="str">
        <x:v>PED00308</x:v>
      </x:c>
      <x:c r="B309" s="19" t="n">
        <x:v>46090</x:v>
      </x:c>
      <x:c r="C309" s="14" t="str">
        <x:v>CLI0036</x:v>
      </x:c>
      <x:c r="D309" s="14" t="str">
        <x:f>INDEX(Clientes!$B$2:$B$101,MATCH(C309,Clientes!$A$2:$A$101,0))</x:f>
        <x:v>Enzo Teixeira Machado</x:v>
      </x:c>
      <x:c r="E309" s="14" t="str">
        <x:v>PROD007</x:v>
      </x:c>
      <x:c r="F309" s="14" t="str">
        <x:f>INDEX(Produtos!$B$2:$B$11,MATCH(E309,Produtos!$A$2:$A$11,0))</x:f>
        <x:v>Caneca Cerâmica</x:v>
      </x:c>
      <x:c r="G309" s="18" t="n">
        <x:v>1</x:v>
      </x:c>
      <x:c r="H309" s="17" t="n">
        <x:f>INDEX(Produtos!$D$2:$D$11,MATCH(E309,Produtos!$A$2:$A$11,0))</x:f>
        <x:v>32</x:v>
      </x:c>
      <x:c r="I309" s="17" t="n">
        <x:f>G309*H309</x:f>
        <x:v>32</x:v>
      </x:c>
      <x:c r="J309" s="14" t="str">
        <x:v>Boleto</x:v>
      </x:c>
      <x:c r="K309" s="14" t="str">
        <x:v>Processando</x:v>
      </x:c>
      <x:c r="L309" s="15" t="str">
        <x:f>INDEX(Clientes!$F$2:$F$101,MATCH(C309,Clientes!$A$2:$A$101,0))</x:f>
        <x:v>SP</x:v>
      </x:c>
    </x:row>
    <x:row r="310" ht="20" customHeight="1">
      <x:c r="A310" s="13" t="str">
        <x:v>PED00309</x:v>
      </x:c>
      <x:c r="B310" s="19" t="n">
        <x:v>46129</x:v>
      </x:c>
      <x:c r="C310" s="14" t="str">
        <x:v>CLI0074</x:v>
      </x:c>
      <x:c r="D310" s="14" t="str">
        <x:f>INDEX(Clientes!$B$2:$B$101,MATCH(C310,Clientes!$A$2:$A$101,0))</x:f>
        <x:v>Pedro Costa Mendes</x:v>
      </x:c>
      <x:c r="E310" s="14" t="str">
        <x:v>PROD001</x:v>
      </x:c>
      <x:c r="F310" s="14" t="str">
        <x:f>INDEX(Produtos!$B$2:$B$11,MATCH(E310,Produtos!$A$2:$A$11,0))</x:f>
        <x:v>Caderno Universitário</x:v>
      </x:c>
      <x:c r="G310" s="18" t="n">
        <x:v>7</x:v>
      </x:c>
      <x:c r="H310" s="17" t="n">
        <x:f>INDEX(Produtos!$D$2:$D$11,MATCH(E310,Produtos!$A$2:$A$11,0))</x:f>
        <x:v>24.9</x:v>
      </x:c>
      <x:c r="I310" s="17" t="n">
        <x:f>G310*H310</x:f>
        <x:v>174.29999999999998</x:v>
      </x:c>
      <x:c r="J310" s="14" t="str">
        <x:v>Cartão de crédito</x:v>
      </x:c>
      <x:c r="K310" s="14" t="str">
        <x:v>Entregue</x:v>
      </x:c>
      <x:c r="L310" s="15" t="str">
        <x:f>INDEX(Clientes!$F$2:$F$101,MATCH(C310,Clientes!$A$2:$A$101,0))</x:f>
        <x:v>MG</x:v>
      </x:c>
    </x:row>
    <x:row r="311" ht="20" customHeight="1">
      <x:c r="A311" s="13" t="str">
        <x:v>PED00310</x:v>
      </x:c>
      <x:c r="B311" s="19" t="n">
        <x:v>46282</x:v>
      </x:c>
      <x:c r="C311" s="14" t="str">
        <x:v>CLI0096</x:v>
      </x:c>
      <x:c r="D311" s="14" t="str">
        <x:f>INDEX(Clientes!$B$2:$B$101,MATCH(C311,Clientes!$A$2:$A$101,0))</x:f>
        <x:v>Bruno Farias Henrique</x:v>
      </x:c>
      <x:c r="E311" s="14" t="str">
        <x:v>PROD009</x:v>
      </x:c>
      <x:c r="F311" s="14" t="str">
        <x:f>INDEX(Produtos!$B$2:$B$11,MATCH(E311,Produtos!$A$2:$A$11,0))</x:f>
        <x:v>Carregador USB-C</x:v>
      </x:c>
      <x:c r="G311" s="18" t="n">
        <x:v>5</x:v>
      </x:c>
      <x:c r="H311" s="17" t="n">
        <x:f>INDEX(Produtos!$D$2:$D$11,MATCH(E311,Produtos!$A$2:$A$11,0))</x:f>
        <x:v>59.9</x:v>
      </x:c>
      <x:c r="I311" s="17" t="n">
        <x:f>G311*H311</x:f>
        <x:v>299.5</x:v>
      </x:c>
      <x:c r="J311" s="14" t="str">
        <x:v>Boleto</x:v>
      </x:c>
      <x:c r="K311" s="14" t="str">
        <x:v>Processando</x:v>
      </x:c>
      <x:c r="L311" s="15" t="str">
        <x:f>INDEX(Clientes!$F$2:$F$101,MATCH(C311,Clientes!$A$2:$A$101,0))</x:f>
        <x:v>MG</x:v>
      </x:c>
    </x:row>
    <x:row r="312" ht="20" customHeight="1">
      <x:c r="A312" s="13" t="str">
        <x:v>PED00311</x:v>
      </x:c>
      <x:c r="B312" s="19" t="n">
        <x:v>46185</x:v>
      </x:c>
      <x:c r="C312" s="14" t="str">
        <x:v>CLI0074</x:v>
      </x:c>
      <x:c r="D312" s="14" t="str">
        <x:f>INDEX(Clientes!$B$2:$B$101,MATCH(C312,Clientes!$A$2:$A$101,0))</x:f>
        <x:v>Pedro Costa Mendes</x:v>
      </x:c>
      <x:c r="E312" s="14" t="str">
        <x:v>PROD005</x:v>
      </x:c>
      <x:c r="F312" s="14" t="str">
        <x:f>INDEX(Produtos!$B$2:$B$11,MATCH(E312,Produtos!$A$2:$A$11,0))</x:f>
        <x:v>Luminária de Mesa LED</x:v>
      </x:c>
      <x:c r="G312" s="18" t="n">
        <x:v>3</x:v>
      </x:c>
      <x:c r="H312" s="17" t="n">
        <x:f>INDEX(Produtos!$D$2:$D$11,MATCH(E312,Produtos!$A$2:$A$11,0))</x:f>
        <x:v>89.5</x:v>
      </x:c>
      <x:c r="I312" s="17" t="n">
        <x:f>G312*H312</x:f>
        <x:v>268.5</x:v>
      </x:c>
      <x:c r="J312" s="14" t="str">
        <x:v>Cartão de crédito</x:v>
      </x:c>
      <x:c r="K312" s="14" t="str">
        <x:v>Entregue</x:v>
      </x:c>
      <x:c r="L312" s="15" t="str">
        <x:f>INDEX(Clientes!$F$2:$F$101,MATCH(C312,Clientes!$A$2:$A$101,0))</x:f>
        <x:v>MG</x:v>
      </x:c>
    </x:row>
    <x:row r="313" ht="20" customHeight="1">
      <x:c r="A313" s="13" t="str">
        <x:v>PED00312</x:v>
      </x:c>
      <x:c r="B313" s="19" t="n">
        <x:v>46074</x:v>
      </x:c>
      <x:c r="C313" s="14" t="str">
        <x:v>CLI0020</x:v>
      </x:c>
      <x:c r="D313" s="14" t="str">
        <x:f>INDEX(Clientes!$B$2:$B$101,MATCH(C313,Clientes!$A$2:$A$101,0))</x:f>
        <x:v>João Esteves Garcia</x:v>
      </x:c>
      <x:c r="E313" s="14" t="str">
        <x:v>PROD009</x:v>
      </x:c>
      <x:c r="F313" s="14" t="str">
        <x:f>INDEX(Produtos!$B$2:$B$11,MATCH(E313,Produtos!$A$2:$A$11,0))</x:f>
        <x:v>Carregador USB-C</x:v>
      </x:c>
      <x:c r="G313" s="18" t="n">
        <x:v>1</x:v>
      </x:c>
      <x:c r="H313" s="17" t="n">
        <x:f>INDEX(Produtos!$D$2:$D$11,MATCH(E313,Produtos!$A$2:$A$11,0))</x:f>
        <x:v>59.9</x:v>
      </x:c>
      <x:c r="I313" s="17" t="n">
        <x:f>G313*H313</x:f>
        <x:v>59.9</x:v>
      </x:c>
      <x:c r="J313" s="14" t="str">
        <x:v>Boleto</x:v>
      </x:c>
      <x:c r="K313" s="14" t="str">
        <x:v>Processando</x:v>
      </x:c>
      <x:c r="L313" s="15" t="str">
        <x:f>INDEX(Clientes!$F$2:$F$101,MATCH(C313,Clientes!$A$2:$A$101,0))</x:f>
        <x:v>MG</x:v>
      </x:c>
    </x:row>
    <x:row r="314" ht="20" customHeight="1">
      <x:c r="A314" s="13" t="str">
        <x:v>PED00313</x:v>
      </x:c>
      <x:c r="B314" s="19" t="n">
        <x:v>46280</x:v>
      </x:c>
      <x:c r="C314" s="14" t="str">
        <x:v>CLI0086</x:v>
      </x:c>
      <x:c r="D314" s="14" t="str">
        <x:f>INDEX(Clientes!$B$2:$B$101,MATCH(C314,Clientes!$A$2:$A$101,0))</x:f>
        <x:v>Pedro Lopes Henrique</x:v>
      </x:c>
      <x:c r="E314" s="14" t="str">
        <x:v>PROD005</x:v>
      </x:c>
      <x:c r="F314" s="14" t="str">
        <x:f>INDEX(Produtos!$B$2:$B$11,MATCH(E314,Produtos!$A$2:$A$11,0))</x:f>
        <x:v>Luminária de Mesa LED</x:v>
      </x:c>
      <x:c r="G314" s="18" t="n">
        <x:v>7</x:v>
      </x:c>
      <x:c r="H314" s="17" t="n">
        <x:f>INDEX(Produtos!$D$2:$D$11,MATCH(E314,Produtos!$A$2:$A$11,0))</x:f>
        <x:v>89.5</x:v>
      </x:c>
      <x:c r="I314" s="17" t="n">
        <x:f>G314*H314</x:f>
        <x:v>626.5</x:v>
      </x:c>
      <x:c r="J314" s="14" t="str">
        <x:v>Cartão de crédito</x:v>
      </x:c>
      <x:c r="K314" s="14" t="str">
        <x:v>Entregue</x:v>
      </x:c>
      <x:c r="L314" s="15" t="str">
        <x:f>INDEX(Clientes!$F$2:$F$101,MATCH(C314,Clientes!$A$2:$A$101,0))</x:f>
        <x:v>PR</x:v>
      </x:c>
    </x:row>
    <x:row r="315" ht="20" customHeight="1">
      <x:c r="A315" s="13" t="str">
        <x:v>PED00314</x:v>
      </x:c>
      <x:c r="B315" s="19" t="n">
        <x:v>46152</x:v>
      </x:c>
      <x:c r="C315" s="14" t="str">
        <x:v>CLI0036</x:v>
      </x:c>
      <x:c r="D315" s="14" t="str">
        <x:f>INDEX(Clientes!$B$2:$B$101,MATCH(C315,Clientes!$A$2:$A$101,0))</x:f>
        <x:v>Enzo Teixeira Machado</x:v>
      </x:c>
      <x:c r="E315" s="14" t="str">
        <x:v>PROD001</x:v>
      </x:c>
      <x:c r="F315" s="14" t="str">
        <x:f>INDEX(Produtos!$B$2:$B$11,MATCH(E315,Produtos!$A$2:$A$11,0))</x:f>
        <x:v>Caderno Universitário</x:v>
      </x:c>
      <x:c r="G315" s="18" t="n">
        <x:v>5</x:v>
      </x:c>
      <x:c r="H315" s="17" t="n">
        <x:f>INDEX(Produtos!$D$2:$D$11,MATCH(E315,Produtos!$A$2:$A$11,0))</x:f>
        <x:v>24.9</x:v>
      </x:c>
      <x:c r="I315" s="17" t="n">
        <x:f>G315*H315</x:f>
        <x:v>124.5</x:v>
      </x:c>
      <x:c r="J315" s="14" t="str">
        <x:v>Boleto</x:v>
      </x:c>
      <x:c r="K315" s="14" t="str">
        <x:v>Processando</x:v>
      </x:c>
      <x:c r="L315" s="15" t="str">
        <x:f>INDEX(Clientes!$F$2:$F$101,MATCH(C315,Clientes!$A$2:$A$101,0))</x:f>
        <x:v>SP</x:v>
      </x:c>
    </x:row>
    <x:row r="316" ht="20" customHeight="1">
      <x:c r="A316" s="13" t="str">
        <x:v>PED00315</x:v>
      </x:c>
      <x:c r="B316" s="19" t="n">
        <x:v>46063</x:v>
      </x:c>
      <x:c r="C316" s="14" t="str">
        <x:v>CLI0002</x:v>
      </x:c>
      <x:c r="D316" s="14" t="str">
        <x:f>INDEX(Clientes!$B$2:$B$101,MATCH(C316,Clientes!$A$2:$A$101,0))</x:f>
        <x:v>Enzo Cardoso Mendes</x:v>
      </x:c>
      <x:c r="E316" s="14" t="str">
        <x:v>PROD001</x:v>
      </x:c>
      <x:c r="F316" s="14" t="str">
        <x:f>INDEX(Produtos!$B$2:$B$11,MATCH(E316,Produtos!$A$2:$A$11,0))</x:f>
        <x:v>Caderno Universitário</x:v>
      </x:c>
      <x:c r="G316" s="18" t="n">
        <x:v>3</x:v>
      </x:c>
      <x:c r="H316" s="17" t="n">
        <x:f>INDEX(Produtos!$D$2:$D$11,MATCH(E316,Produtos!$A$2:$A$11,0))</x:f>
        <x:v>24.9</x:v>
      </x:c>
      <x:c r="I316" s="17" t="n">
        <x:f>G316*H316</x:f>
        <x:v>74.69999999999999</x:v>
      </x:c>
      <x:c r="J316" s="14" t="str">
        <x:v>Cartão de crédito</x:v>
      </x:c>
      <x:c r="K316" s="14" t="str">
        <x:v>Entregue</x:v>
      </x:c>
      <x:c r="L316" s="15" t="str">
        <x:f>INDEX(Clientes!$F$2:$F$101,MATCH(C316,Clientes!$A$2:$A$101,0))</x:f>
        <x:v>PR</x:v>
      </x:c>
    </x:row>
    <x:row r="317" ht="20" customHeight="1">
      <x:c r="A317" s="13" t="str">
        <x:v>PED00316</x:v>
      </x:c>
      <x:c r="B317" s="19" t="n">
        <x:v>46133</x:v>
      </x:c>
      <x:c r="C317" s="14" t="str">
        <x:v>CLI0080</x:v>
      </x:c>
      <x:c r="D317" s="14" t="str">
        <x:f>INDEX(Clientes!$B$2:$B$101,MATCH(C317,Clientes!$A$2:$A$101,0))</x:f>
        <x:v>Caio Nascimento Vargas</x:v>
      </x:c>
      <x:c r="E317" s="14" t="str">
        <x:v>PROD005</x:v>
      </x:c>
      <x:c r="F317" s="14" t="str">
        <x:f>INDEX(Produtos!$B$2:$B$11,MATCH(E317,Produtos!$A$2:$A$11,0))</x:f>
        <x:v>Luminária de Mesa LED</x:v>
      </x:c>
      <x:c r="G317" s="18" t="n">
        <x:v>1</x:v>
      </x:c>
      <x:c r="H317" s="17" t="n">
        <x:f>INDEX(Produtos!$D$2:$D$11,MATCH(E317,Produtos!$A$2:$A$11,0))</x:f>
        <x:v>89.5</x:v>
      </x:c>
      <x:c r="I317" s="17" t="n">
        <x:f>G317*H317</x:f>
        <x:v>89.5</x:v>
      </x:c>
      <x:c r="J317" s="14" t="str">
        <x:v>Boleto</x:v>
      </x:c>
      <x:c r="K317" s="14" t="str">
        <x:v>Processando</x:v>
      </x:c>
      <x:c r="L317" s="15" t="str">
        <x:f>INDEX(Clientes!$F$2:$F$101,MATCH(C317,Clientes!$A$2:$A$101,0))</x:f>
        <x:v>SC</x:v>
      </x:c>
    </x:row>
    <x:row r="318" ht="20" customHeight="1">
      <x:c r="A318" s="13" t="str">
        <x:v>PED00317</x:v>
      </x:c>
      <x:c r="B318" s="19" t="n">
        <x:v>46176</x:v>
      </x:c>
      <x:c r="C318" s="14" t="str">
        <x:v>CLI0086</x:v>
      </x:c>
      <x:c r="D318" s="14" t="str">
        <x:f>INDEX(Clientes!$B$2:$B$101,MATCH(C318,Clientes!$A$2:$A$101,0))</x:f>
        <x:v>Pedro Lopes Henrique</x:v>
      </x:c>
      <x:c r="E318" s="14" t="str">
        <x:v>PROD009</x:v>
      </x:c>
      <x:c r="F318" s="14" t="str">
        <x:f>INDEX(Produtos!$B$2:$B$11,MATCH(E318,Produtos!$A$2:$A$11,0))</x:f>
        <x:v>Carregador USB-C</x:v>
      </x:c>
      <x:c r="G318" s="18" t="n">
        <x:v>7</x:v>
      </x:c>
      <x:c r="H318" s="17" t="n">
        <x:f>INDEX(Produtos!$D$2:$D$11,MATCH(E318,Produtos!$A$2:$A$11,0))</x:f>
        <x:v>59.9</x:v>
      </x:c>
      <x:c r="I318" s="17" t="n">
        <x:f>G318*H318</x:f>
        <x:v>419.3</x:v>
      </x:c>
      <x:c r="J318" s="14" t="str">
        <x:v>Cartão de crédito</x:v>
      </x:c>
      <x:c r="K318" s="14" t="str">
        <x:v>Entregue</x:v>
      </x:c>
      <x:c r="L318" s="15" t="str">
        <x:f>INDEX(Clientes!$F$2:$F$101,MATCH(C318,Clientes!$A$2:$A$101,0))</x:f>
        <x:v>PR</x:v>
      </x:c>
    </x:row>
    <x:row r="319" ht="20" customHeight="1">
      <x:c r="A319" s="13" t="str">
        <x:v>PED00318</x:v>
      </x:c>
      <x:c r="B319" s="19" t="n">
        <x:v>46032</x:v>
      </x:c>
      <x:c r="C319" s="14" t="str">
        <x:v>CLI0056</x:v>
      </x:c>
      <x:c r="D319" s="14" t="str">
        <x:f>INDEX(Clientes!$B$2:$B$101,MATCH(C319,Clientes!$A$2:$A$101,0))</x:f>
        <x:v>Gustavo Andrade Souza</x:v>
      </x:c>
      <x:c r="E319" s="14" t="str">
        <x:v>PROD009</x:v>
      </x:c>
      <x:c r="F319" s="14" t="str">
        <x:f>INDEX(Produtos!$B$2:$B$11,MATCH(E319,Produtos!$A$2:$A$11,0))</x:f>
        <x:v>Carregador USB-C</x:v>
      </x:c>
      <x:c r="G319" s="18" t="n">
        <x:v>5</x:v>
      </x:c>
      <x:c r="H319" s="17" t="n">
        <x:f>INDEX(Produtos!$D$2:$D$11,MATCH(E319,Produtos!$A$2:$A$11,0))</x:f>
        <x:v>59.9</x:v>
      </x:c>
      <x:c r="I319" s="17" t="n">
        <x:f>G319*H319</x:f>
        <x:v>299.5</x:v>
      </x:c>
      <x:c r="J319" s="14" t="str">
        <x:v>Boleto</x:v>
      </x:c>
      <x:c r="K319" s="14" t="str">
        <x:v>Processando</x:v>
      </x:c>
      <x:c r="L319" s="15" t="str">
        <x:f>INDEX(Clientes!$F$2:$F$101,MATCH(C319,Clientes!$A$2:$A$101,0))</x:f>
        <x:v>PR</x:v>
      </x:c>
    </x:row>
    <x:row r="320" ht="20" customHeight="1">
      <x:c r="A320" s="13" t="str">
        <x:v>PED00319</x:v>
      </x:c>
      <x:c r="B320" s="19" t="n">
        <x:v>46100</x:v>
      </x:c>
      <x:c r="C320" s="14" t="str">
        <x:v>CLI0050</x:v>
      </x:c>
      <x:c r="D320" s="14" t="str">
        <x:f>INDEX(Clientes!$B$2:$B$101,MATCH(C320,Clientes!$A$2:$A$101,0))</x:f>
        <x:v>Pedro Ramos Dias</x:v>
      </x:c>
      <x:c r="E320" s="14" t="str">
        <x:v>PROD001</x:v>
      </x:c>
      <x:c r="F320" s="14" t="str">
        <x:f>INDEX(Produtos!$B$2:$B$11,MATCH(E320,Produtos!$A$2:$A$11,0))</x:f>
        <x:v>Caderno Universitário</x:v>
      </x:c>
      <x:c r="G320" s="18" t="n">
        <x:v>3</x:v>
      </x:c>
      <x:c r="H320" s="17" t="n">
        <x:f>INDEX(Produtos!$D$2:$D$11,MATCH(E320,Produtos!$A$2:$A$11,0))</x:f>
        <x:v>24.9</x:v>
      </x:c>
      <x:c r="I320" s="17" t="n">
        <x:f>G320*H320</x:f>
        <x:v>74.69999999999999</x:v>
      </x:c>
      <x:c r="J320" s="14" t="str">
        <x:v>Cartão de crédito</x:v>
      </x:c>
      <x:c r="K320" s="14" t="str">
        <x:v>Entregue</x:v>
      </x:c>
      <x:c r="L320" s="15" t="str">
        <x:f>INDEX(Clientes!$F$2:$F$101,MATCH(C320,Clientes!$A$2:$A$101,0))</x:f>
        <x:v>SC</x:v>
      </x:c>
    </x:row>
    <x:row r="321" ht="20" customHeight="1">
      <x:c r="A321" s="13" t="str">
        <x:v>PED00320</x:v>
      </x:c>
      <x:c r="B321" s="19" t="n">
        <x:v>46140</x:v>
      </x:c>
      <x:c r="C321" s="14" t="str">
        <x:v>CLI0044</x:v>
      </x:c>
      <x:c r="D321" s="14" t="str">
        <x:f>INDEX(Clientes!$B$2:$B$101,MATCH(C321,Clientes!$A$2:$A$101,0))</x:f>
        <x:v>Igor Rocha Garcia</x:v>
      </x:c>
      <x:c r="E321" s="14" t="str">
        <x:v>PROD007</x:v>
      </x:c>
      <x:c r="F321" s="14" t="str">
        <x:f>INDEX(Produtos!$B$2:$B$11,MATCH(E321,Produtos!$A$2:$A$11,0))</x:f>
        <x:v>Caneca Cerâmica</x:v>
      </x:c>
      <x:c r="G321" s="18" t="n">
        <x:v>1</x:v>
      </x:c>
      <x:c r="H321" s="17" t="n">
        <x:f>INDEX(Produtos!$D$2:$D$11,MATCH(E321,Produtos!$A$2:$A$11,0))</x:f>
        <x:v>32</x:v>
      </x:c>
      <x:c r="I321" s="17" t="n">
        <x:f>G321*H321</x:f>
        <x:v>32</x:v>
      </x:c>
      <x:c r="J321" s="14" t="str">
        <x:v>Boleto</x:v>
      </x:c>
      <x:c r="K321" s="14" t="str">
        <x:v>Processando</x:v>
      </x:c>
      <x:c r="L321" s="15" t="str">
        <x:f>INDEX(Clientes!$F$2:$F$101,MATCH(C321,Clientes!$A$2:$A$101,0))</x:f>
        <x:v>SC</x:v>
      </x:c>
    </x:row>
    <x:row r="322" ht="20" customHeight="1">
      <x:c r="A322" s="13" t="str">
        <x:v>PED00321</x:v>
      </x:c>
      <x:c r="B322" s="19" t="n">
        <x:v>46032</x:v>
      </x:c>
      <x:c r="C322" s="14" t="str">
        <x:v>CLI0098</x:v>
      </x:c>
      <x:c r="D322" s="14" t="str">
        <x:f>INDEX(Clientes!$B$2:$B$101,MATCH(C322,Clientes!$A$2:$A$101,0))</x:f>
        <x:v>Pedro Lopes Vargas</x:v>
      </x:c>
      <x:c r="E322" s="14" t="str">
        <x:v>PROD005</x:v>
      </x:c>
      <x:c r="F322" s="14" t="str">
        <x:f>INDEX(Produtos!$B$2:$B$11,MATCH(E322,Produtos!$A$2:$A$11,0))</x:f>
        <x:v>Luminária de Mesa LED</x:v>
      </x:c>
      <x:c r="G322" s="18" t="n">
        <x:v>7</x:v>
      </x:c>
      <x:c r="H322" s="17" t="n">
        <x:f>INDEX(Produtos!$D$2:$D$11,MATCH(E322,Produtos!$A$2:$A$11,0))</x:f>
        <x:v>89.5</x:v>
      </x:c>
      <x:c r="I322" s="17" t="n">
        <x:f>G322*H322</x:f>
        <x:v>626.5</x:v>
      </x:c>
      <x:c r="J322" s="14" t="str">
        <x:v>Cartão de crédito</x:v>
      </x:c>
      <x:c r="K322" s="14" t="str">
        <x:v>Entregue</x:v>
      </x:c>
      <x:c r="L322" s="15" t="str">
        <x:f>INDEX(Clientes!$F$2:$F$101,MATCH(C322,Clientes!$A$2:$A$101,0))</x:f>
        <x:v>BA</x:v>
      </x:c>
    </x:row>
    <x:row r="323" ht="20" customHeight="1">
      <x:c r="A323" s="13" t="str">
        <x:v>PED00322</x:v>
      </x:c>
      <x:c r="B323" s="19" t="n">
        <x:v>46295</x:v>
      </x:c>
      <x:c r="C323" s="14" t="str">
        <x:v>CLI0040</x:v>
      </x:c>
      <x:c r="D323" s="14" t="str">
        <x:f>INDEX(Clientes!$B$2:$B$101,MATCH(C323,Clientes!$A$2:$A$101,0))</x:f>
        <x:v>Vinícius Andrade Vargas</x:v>
      </x:c>
      <x:c r="E323" s="14" t="str">
        <x:v>PROD005</x:v>
      </x:c>
      <x:c r="F323" s="14" t="str">
        <x:f>INDEX(Produtos!$B$2:$B$11,MATCH(E323,Produtos!$A$2:$A$11,0))</x:f>
        <x:v>Luminária de Mesa LED</x:v>
      </x:c>
      <x:c r="G323" s="18" t="n">
        <x:v>5</x:v>
      </x:c>
      <x:c r="H323" s="17" t="n">
        <x:f>INDEX(Produtos!$D$2:$D$11,MATCH(E323,Produtos!$A$2:$A$11,0))</x:f>
        <x:v>89.5</x:v>
      </x:c>
      <x:c r="I323" s="17" t="n">
        <x:f>G323*H323</x:f>
        <x:v>447.5</x:v>
      </x:c>
      <x:c r="J323" s="14" t="str">
        <x:v>Boleto</x:v>
      </x:c>
      <x:c r="K323" s="14" t="str">
        <x:v>Processando</x:v>
      </x:c>
      <x:c r="L323" s="15" t="str">
        <x:f>INDEX(Clientes!$F$2:$F$101,MATCH(C323,Clientes!$A$2:$A$101,0))</x:f>
        <x:v>PR</x:v>
      </x:c>
    </x:row>
    <x:row r="324" ht="20" customHeight="1">
      <x:c r="A324" s="13" t="str">
        <x:v>PED00323</x:v>
      </x:c>
      <x:c r="B324" s="19" t="n">
        <x:v>46119</x:v>
      </x:c>
      <x:c r="C324" s="14" t="str">
        <x:v>CLI0034</x:v>
      </x:c>
      <x:c r="D324" s="14" t="str">
        <x:f>INDEX(Clientes!$B$2:$B$101,MATCH(C324,Clientes!$A$2:$A$101,0))</x:f>
        <x:v>Igor Nascimento Garcia</x:v>
      </x:c>
      <x:c r="E324" s="14" t="str">
        <x:v>PROD003</x:v>
      </x:c>
      <x:c r="F324" s="14" t="str">
        <x:f>INDEX(Produtos!$B$2:$B$11,MATCH(E324,Produtos!$A$2:$A$11,0))</x:f>
        <x:v>Fone Bluetooth</x:v>
      </x:c>
      <x:c r="G324" s="18" t="n">
        <x:v>3</x:v>
      </x:c>
      <x:c r="H324" s="17" t="n">
        <x:f>INDEX(Produtos!$D$2:$D$11,MATCH(E324,Produtos!$A$2:$A$11,0))</x:f>
        <x:v>129.9</x:v>
      </x:c>
      <x:c r="I324" s="17" t="n">
        <x:f>G324*H324</x:f>
        <x:v>389.70000000000005</x:v>
      </x:c>
      <x:c r="J324" s="14" t="str">
        <x:v>Cartão de crédito</x:v>
      </x:c>
      <x:c r="K324" s="14" t="str">
        <x:v>Entregue</x:v>
      </x:c>
      <x:c r="L324" s="15" t="str">
        <x:f>INDEX(Clientes!$F$2:$F$101,MATCH(C324,Clientes!$A$2:$A$101,0))</x:f>
        <x:v>PR</x:v>
      </x:c>
    </x:row>
    <x:row r="325" ht="20" customHeight="1">
      <x:c r="A325" s="13" t="str">
        <x:v>PED00324</x:v>
      </x:c>
      <x:c r="B325" s="19" t="n">
        <x:v>46242</x:v>
      </x:c>
      <x:c r="C325" s="14" t="str">
        <x:v>CLI0012</x:v>
      </x:c>
      <x:c r="D325" s="14" t="str">
        <x:f>INDEX(Clientes!$B$2:$B$101,MATCH(C325,Clientes!$A$2:$A$101,0))</x:f>
        <x:v>Pedro Ramos Junqueira</x:v>
      </x:c>
      <x:c r="E325" s="14" t="str">
        <x:v>PROD003</x:v>
      </x:c>
      <x:c r="F325" s="14" t="str">
        <x:f>INDEX(Produtos!$B$2:$B$11,MATCH(E325,Produtos!$A$2:$A$11,0))</x:f>
        <x:v>Fone Bluetooth</x:v>
      </x:c>
      <x:c r="G325" s="18" t="n">
        <x:v>1</x:v>
      </x:c>
      <x:c r="H325" s="17" t="n">
        <x:f>INDEX(Produtos!$D$2:$D$11,MATCH(E325,Produtos!$A$2:$A$11,0))</x:f>
        <x:v>129.9</x:v>
      </x:c>
      <x:c r="I325" s="17" t="n">
        <x:f>G325*H325</x:f>
        <x:v>129.9</x:v>
      </x:c>
      <x:c r="J325" s="14" t="str">
        <x:v>Boleto</x:v>
      </x:c>
      <x:c r="K325" s="14" t="str">
        <x:v>Processando</x:v>
      </x:c>
      <x:c r="L325" s="15" t="str">
        <x:f>INDEX(Clientes!$F$2:$F$101,MATCH(C325,Clientes!$A$2:$A$101,0))</x:f>
        <x:v>SC</x:v>
      </x:c>
    </x:row>
    <x:row r="326" ht="20" customHeight="1">
      <x:c r="A326" s="13" t="str">
        <x:v>PED00325</x:v>
      </x:c>
      <x:c r="B326" s="19" t="n">
        <x:v>46236</x:v>
      </x:c>
      <x:c r="C326" s="14" t="str">
        <x:v>CLI0042</x:v>
      </x:c>
      <x:c r="D326" s="14" t="str">
        <x:f>INDEX(Clientes!$B$2:$B$101,MATCH(C326,Clientes!$A$2:$A$101,0))</x:f>
        <x:v>João Rocha Batista</x:v>
      </x:c>
      <x:c r="E326" s="14" t="str">
        <x:v>PROD005</x:v>
      </x:c>
      <x:c r="F326" s="14" t="str">
        <x:f>INDEX(Produtos!$B$2:$B$11,MATCH(E326,Produtos!$A$2:$A$11,0))</x:f>
        <x:v>Luminária de Mesa LED</x:v>
      </x:c>
      <x:c r="G326" s="18" t="n">
        <x:v>7</x:v>
      </x:c>
      <x:c r="H326" s="17" t="n">
        <x:f>INDEX(Produtos!$D$2:$D$11,MATCH(E326,Produtos!$A$2:$A$11,0))</x:f>
        <x:v>89.5</x:v>
      </x:c>
      <x:c r="I326" s="17" t="n">
        <x:f>G326*H326</x:f>
        <x:v>626.5</x:v>
      </x:c>
      <x:c r="J326" s="14" t="str">
        <x:v>Cartão de crédito</x:v>
      </x:c>
      <x:c r="K326" s="14" t="str">
        <x:v>Entregue</x:v>
      </x:c>
      <x:c r="L326" s="15" t="str">
        <x:f>INDEX(Clientes!$F$2:$F$101,MATCH(C326,Clientes!$A$2:$A$101,0))</x:f>
        <x:v>PR</x:v>
      </x:c>
    </x:row>
    <x:row r="327" ht="20" customHeight="1">
      <x:c r="A327" s="13" t="str">
        <x:v>PED00326</x:v>
      </x:c>
      <x:c r="B327" s="19" t="n">
        <x:v>46075</x:v>
      </x:c>
      <x:c r="C327" s="14" t="str">
        <x:v>CLI0048</x:v>
      </x:c>
      <x:c r="D327" s="14" t="str">
        <x:f>INDEX(Clientes!$B$2:$B$101,MATCH(C327,Clientes!$A$2:$A$101,0))</x:f>
        <x:v>Daniel Nascimento Barbosa</x:v>
      </x:c>
      <x:c r="E327" s="14" t="str">
        <x:v>PROD009</x:v>
      </x:c>
      <x:c r="F327" s="14" t="str">
        <x:f>INDEX(Produtos!$B$2:$B$11,MATCH(E327,Produtos!$A$2:$A$11,0))</x:f>
        <x:v>Carregador USB-C</x:v>
      </x:c>
      <x:c r="G327" s="18" t="n">
        <x:v>5</x:v>
      </x:c>
      <x:c r="H327" s="17" t="n">
        <x:f>INDEX(Produtos!$D$2:$D$11,MATCH(E327,Produtos!$A$2:$A$11,0))</x:f>
        <x:v>59.9</x:v>
      </x:c>
      <x:c r="I327" s="17" t="n">
        <x:f>G327*H327</x:f>
        <x:v>299.5</x:v>
      </x:c>
      <x:c r="J327" s="14" t="str">
        <x:v>Boleto</x:v>
      </x:c>
      <x:c r="K327" s="14" t="str">
        <x:v>Processando</x:v>
      </x:c>
      <x:c r="L327" s="15" t="str">
        <x:f>INDEX(Clientes!$F$2:$F$101,MATCH(C327,Clientes!$A$2:$A$101,0))</x:f>
        <x:v>SP</x:v>
      </x:c>
    </x:row>
    <x:row r="328" ht="20" customHeight="1">
      <x:c r="A328" s="13" t="str">
        <x:v>PED00327</x:v>
      </x:c>
      <x:c r="B328" s="19" t="n">
        <x:v>46076</x:v>
      </x:c>
      <x:c r="C328" s="14" t="str">
        <x:v>CLI0062</x:v>
      </x:c>
      <x:c r="D328" s="14" t="str">
        <x:f>INDEX(Clientes!$B$2:$B$101,MATCH(C328,Clientes!$A$2:$A$101,0))</x:f>
        <x:v>Enzo Pereira Duarte</x:v>
      </x:c>
      <x:c r="E328" s="14" t="str">
        <x:v>PROD009</x:v>
      </x:c>
      <x:c r="F328" s="14" t="str">
        <x:f>INDEX(Produtos!$B$2:$B$11,MATCH(E328,Produtos!$A$2:$A$11,0))</x:f>
        <x:v>Carregador USB-C</x:v>
      </x:c>
      <x:c r="G328" s="18" t="n">
        <x:v>3</x:v>
      </x:c>
      <x:c r="H328" s="17" t="n">
        <x:f>INDEX(Produtos!$D$2:$D$11,MATCH(E328,Produtos!$A$2:$A$11,0))</x:f>
        <x:v>59.9</x:v>
      </x:c>
      <x:c r="I328" s="17" t="n">
        <x:f>G328*H328</x:f>
        <x:v>179.7</x:v>
      </x:c>
      <x:c r="J328" s="14" t="str">
        <x:v>Cartão de crédito</x:v>
      </x:c>
      <x:c r="K328" s="14" t="str">
        <x:v>Entregue</x:v>
      </x:c>
      <x:c r="L328" s="15" t="str">
        <x:f>INDEX(Clientes!$F$2:$F$101,MATCH(C328,Clientes!$A$2:$A$101,0))</x:f>
        <x:v>SC</x:v>
      </x:c>
    </x:row>
    <x:row r="329" ht="20" customHeight="1">
      <x:c r="A329" s="13" t="str">
        <x:v>PED00328</x:v>
      </x:c>
      <x:c r="B329" s="19" t="n">
        <x:v>46282</x:v>
      </x:c>
      <x:c r="C329" s="14" t="str">
        <x:v>CLI0028</x:v>
      </x:c>
      <x:c r="D329" s="14" t="str">
        <x:f>INDEX(Clientes!$B$2:$B$101,MATCH(C329,Clientes!$A$2:$A$101,0))</x:f>
        <x:v>Leonardo Nascimento Junqueira</x:v>
      </x:c>
      <x:c r="E329" s="14" t="str">
        <x:v>PROD007</x:v>
      </x:c>
      <x:c r="F329" s="14" t="str">
        <x:f>INDEX(Produtos!$B$2:$B$11,MATCH(E329,Produtos!$A$2:$A$11,0))</x:f>
        <x:v>Caneca Cerâmica</x:v>
      </x:c>
      <x:c r="G329" s="18" t="n">
        <x:v>1</x:v>
      </x:c>
      <x:c r="H329" s="17" t="n">
        <x:f>INDEX(Produtos!$D$2:$D$11,MATCH(E329,Produtos!$A$2:$A$11,0))</x:f>
        <x:v>32</x:v>
      </x:c>
      <x:c r="I329" s="17" t="n">
        <x:f>G329*H329</x:f>
        <x:v>32</x:v>
      </x:c>
      <x:c r="J329" s="14" t="str">
        <x:v>Boleto</x:v>
      </x:c>
      <x:c r="K329" s="14" t="str">
        <x:v>Processando</x:v>
      </x:c>
      <x:c r="L329" s="15" t="str">
        <x:f>INDEX(Clientes!$F$2:$F$101,MATCH(C329,Clientes!$A$2:$A$101,0))</x:f>
        <x:v>SC</x:v>
      </x:c>
    </x:row>
    <x:row r="330" ht="20" customHeight="1">
      <x:c r="A330" s="13" t="str">
        <x:v>PED00329</x:v>
      </x:c>
      <x:c r="B330" s="19" t="n">
        <x:v>46085</x:v>
      </x:c>
      <x:c r="C330" s="14" t="str">
        <x:v>CLI0006</x:v>
      </x:c>
      <x:c r="D330" s="14" t="str">
        <x:f>INDEX(Clientes!$B$2:$B$101,MATCH(C330,Clientes!$A$2:$A$101,0))</x:f>
        <x:v>Caio Cardoso Batista</x:v>
      </x:c>
      <x:c r="E330" s="14" t="str">
        <x:v>PROD003</x:v>
      </x:c>
      <x:c r="F330" s="14" t="str">
        <x:f>INDEX(Produtos!$B$2:$B$11,MATCH(E330,Produtos!$A$2:$A$11,0))</x:f>
        <x:v>Fone Bluetooth</x:v>
      </x:c>
      <x:c r="G330" s="18" t="n">
        <x:v>7</x:v>
      </x:c>
      <x:c r="H330" s="17" t="n">
        <x:f>INDEX(Produtos!$D$2:$D$11,MATCH(E330,Produtos!$A$2:$A$11,0))</x:f>
        <x:v>129.9</x:v>
      </x:c>
      <x:c r="I330" s="17" t="n">
        <x:f>G330*H330</x:f>
        <x:v>909.3000000000001</x:v>
      </x:c>
      <x:c r="J330" s="14" t="str">
        <x:v>Cartão de crédito</x:v>
      </x:c>
      <x:c r="K330" s="14" t="str">
        <x:v>Entregue</x:v>
      </x:c>
      <x:c r="L330" s="15" t="str">
        <x:f>INDEX(Clientes!$F$2:$F$101,MATCH(C330,Clientes!$A$2:$A$101,0))</x:f>
        <x:v>SP</x:v>
      </x:c>
    </x:row>
    <x:row r="331" ht="20" customHeight="1">
      <x:c r="A331" s="13" t="str">
        <x:v>PED00330</x:v>
      </x:c>
      <x:c r="B331" s="19" t="n">
        <x:v>46088</x:v>
      </x:c>
      <x:c r="C331" s="14" t="str">
        <x:v>CLI0088</x:v>
      </x:c>
      <x:c r="D331" s="14" t="str">
        <x:f>INDEX(Clientes!$B$2:$B$101,MATCH(C331,Clientes!$A$2:$A$101,0))</x:f>
        <x:v>Samuel Rocha Ferreira</x:v>
      </x:c>
      <x:c r="E331" s="14" t="str">
        <x:v>PROD003</x:v>
      </x:c>
      <x:c r="F331" s="14" t="str">
        <x:f>INDEX(Produtos!$B$2:$B$11,MATCH(E331,Produtos!$A$2:$A$11,0))</x:f>
        <x:v>Fone Bluetooth</x:v>
      </x:c>
      <x:c r="G331" s="18" t="n">
        <x:v>5</x:v>
      </x:c>
      <x:c r="H331" s="17" t="n">
        <x:f>INDEX(Produtos!$D$2:$D$11,MATCH(E331,Produtos!$A$2:$A$11,0))</x:f>
        <x:v>129.9</x:v>
      </x:c>
      <x:c r="I331" s="17" t="n">
        <x:f>G331*H331</x:f>
        <x:v>649.5</x:v>
      </x:c>
      <x:c r="J331" s="14" t="str">
        <x:v>Boleto</x:v>
      </x:c>
      <x:c r="K331" s="14" t="str">
        <x:v>Processando</x:v>
      </x:c>
      <x:c r="L331" s="15" t="str">
        <x:f>INDEX(Clientes!$F$2:$F$101,MATCH(C331,Clientes!$A$2:$A$101,0))</x:f>
        <x:v>MG</x:v>
      </x:c>
    </x:row>
    <x:row r="332" ht="20" customHeight="1">
      <x:c r="A332" s="13" t="str">
        <x:v>PED00331</x:v>
      </x:c>
      <x:c r="B332" s="19" t="n">
        <x:v>46084</x:v>
      </x:c>
      <x:c r="C332" s="14" t="str">
        <x:v>CLI0034</x:v>
      </x:c>
      <x:c r="D332" s="14" t="str">
        <x:f>INDEX(Clientes!$B$2:$B$101,MATCH(C332,Clientes!$A$2:$A$101,0))</x:f>
        <x:v>Igor Nascimento Garcia</x:v>
      </x:c>
      <x:c r="E332" s="14" t="str">
        <x:v>PROD005</x:v>
      </x:c>
      <x:c r="F332" s="14" t="str">
        <x:f>INDEX(Produtos!$B$2:$B$11,MATCH(E332,Produtos!$A$2:$A$11,0))</x:f>
        <x:v>Luminária de Mesa LED</x:v>
      </x:c>
      <x:c r="G332" s="18" t="n">
        <x:v>3</x:v>
      </x:c>
      <x:c r="H332" s="17" t="n">
        <x:f>INDEX(Produtos!$D$2:$D$11,MATCH(E332,Produtos!$A$2:$A$11,0))</x:f>
        <x:v>89.5</x:v>
      </x:c>
      <x:c r="I332" s="17" t="n">
        <x:f>G332*H332</x:f>
        <x:v>268.5</x:v>
      </x:c>
      <x:c r="J332" s="14" t="str">
        <x:v>Cartão de crédito</x:v>
      </x:c>
      <x:c r="K332" s="14" t="str">
        <x:v>Entregue</x:v>
      </x:c>
      <x:c r="L332" s="15" t="str">
        <x:f>INDEX(Clientes!$F$2:$F$101,MATCH(C332,Clientes!$A$2:$A$101,0))</x:f>
        <x:v>PR</x:v>
      </x:c>
    </x:row>
    <x:row r="333" ht="20" customHeight="1">
      <x:c r="A333" s="13" t="str">
        <x:v>PED00332</x:v>
      </x:c>
      <x:c r="B333" s="19" t="n">
        <x:v>46244</x:v>
      </x:c>
      <x:c r="C333" s="14" t="str">
        <x:v>CLI0032</x:v>
      </x:c>
      <x:c r="D333" s="14" t="str">
        <x:f>INDEX(Clientes!$B$2:$B$101,MATCH(C333,Clientes!$A$2:$A$101,0))</x:f>
        <x:v>Leonardo Lima Oliveira</x:v>
      </x:c>
      <x:c r="E333" s="14" t="str">
        <x:v>PROD005</x:v>
      </x:c>
      <x:c r="F333" s="14" t="str">
        <x:f>INDEX(Produtos!$B$2:$B$11,MATCH(E333,Produtos!$A$2:$A$11,0))</x:f>
        <x:v>Luminária de Mesa LED</x:v>
      </x:c>
      <x:c r="G333" s="18" t="n">
        <x:v>1</x:v>
      </x:c>
      <x:c r="H333" s="17" t="n">
        <x:f>INDEX(Produtos!$D$2:$D$11,MATCH(E333,Produtos!$A$2:$A$11,0))</x:f>
        <x:v>89.5</x:v>
      </x:c>
      <x:c r="I333" s="17" t="n">
        <x:f>G333*H333</x:f>
        <x:v>89.5</x:v>
      </x:c>
      <x:c r="J333" s="14" t="str">
        <x:v>Boleto</x:v>
      </x:c>
      <x:c r="K333" s="14" t="str">
        <x:v>Processando</x:v>
      </x:c>
      <x:c r="L333" s="15" t="str">
        <x:f>INDEX(Clientes!$F$2:$F$101,MATCH(C333,Clientes!$A$2:$A$101,0))</x:f>
        <x:v>PR</x:v>
      </x:c>
    </x:row>
    <x:row r="334" ht="20" customHeight="1">
      <x:c r="A334" s="13" t="str">
        <x:v>PED00333</x:v>
      </x:c>
      <x:c r="B334" s="19" t="n">
        <x:v>46078</x:v>
      </x:c>
      <x:c r="C334" s="14" t="str">
        <x:v>CLI0014</x:v>
      </x:c>
      <x:c r="D334" s="14" t="str">
        <x:f>INDEX(Clientes!$B$2:$B$101,MATCH(C334,Clientes!$A$2:$A$101,0))</x:f>
        <x:v>Enzo Andrade Duarte</x:v>
      </x:c>
      <x:c r="E334" s="14" t="str">
        <x:v>PROD001</x:v>
      </x:c>
      <x:c r="F334" s="14" t="str">
        <x:f>INDEX(Produtos!$B$2:$B$11,MATCH(E334,Produtos!$A$2:$A$11,0))</x:f>
        <x:v>Caderno Universitário</x:v>
      </x:c>
      <x:c r="G334" s="18" t="n">
        <x:v>7</x:v>
      </x:c>
      <x:c r="H334" s="17" t="n">
        <x:f>INDEX(Produtos!$D$2:$D$11,MATCH(E334,Produtos!$A$2:$A$11,0))</x:f>
        <x:v>24.9</x:v>
      </x:c>
      <x:c r="I334" s="17" t="n">
        <x:f>G334*H334</x:f>
        <x:v>174.29999999999998</x:v>
      </x:c>
      <x:c r="J334" s="14" t="str">
        <x:v>Cartão de crédito</x:v>
      </x:c>
      <x:c r="K334" s="14" t="str">
        <x:v>Entregue</x:v>
      </x:c>
      <x:c r="L334" s="15" t="str">
        <x:f>INDEX(Clientes!$F$2:$F$101,MATCH(C334,Clientes!$A$2:$A$101,0))</x:f>
        <x:v>PR</x:v>
      </x:c>
    </x:row>
    <x:row r="335" ht="20" customHeight="1">
      <x:c r="A335" s="13" t="str">
        <x:v>PED00334</x:v>
      </x:c>
      <x:c r="B335" s="19" t="n">
        <x:v>46078</x:v>
      </x:c>
      <x:c r="C335" s="14" t="str">
        <x:v>CLI0096</x:v>
      </x:c>
      <x:c r="D335" s="14" t="str">
        <x:f>INDEX(Clientes!$B$2:$B$101,MATCH(C335,Clientes!$A$2:$A$101,0))</x:f>
        <x:v>Bruno Farias Henrique</x:v>
      </x:c>
      <x:c r="E335" s="14" t="str">
        <x:v>PROD003</x:v>
      </x:c>
      <x:c r="F335" s="14" t="str">
        <x:f>INDEX(Produtos!$B$2:$B$11,MATCH(E335,Produtos!$A$2:$A$11,0))</x:f>
        <x:v>Fone Bluetooth</x:v>
      </x:c>
      <x:c r="G335" s="18" t="n">
        <x:v>5</x:v>
      </x:c>
      <x:c r="H335" s="17" t="n">
        <x:f>INDEX(Produtos!$D$2:$D$11,MATCH(E335,Produtos!$A$2:$A$11,0))</x:f>
        <x:v>129.9</x:v>
      </x:c>
      <x:c r="I335" s="17" t="n">
        <x:f>G335*H335</x:f>
        <x:v>649.5</x:v>
      </x:c>
      <x:c r="J335" s="14" t="str">
        <x:v>Boleto</x:v>
      </x:c>
      <x:c r="K335" s="14" t="str">
        <x:v>Processando</x:v>
      </x:c>
      <x:c r="L335" s="15" t="str">
        <x:f>INDEX(Clientes!$F$2:$F$101,MATCH(C335,Clientes!$A$2:$A$101,0))</x:f>
        <x:v>MG</x:v>
      </x:c>
    </x:row>
    <x:row r="336" ht="20" customHeight="1">
      <x:c r="A336" s="13" t="str">
        <x:v>PED00335</x:v>
      </x:c>
      <x:c r="B336" s="19" t="n">
        <x:v>46103</x:v>
      </x:c>
      <x:c r="C336" s="14" t="str">
        <x:v>CLI0002</x:v>
      </x:c>
      <x:c r="D336" s="14" t="str">
        <x:f>INDEX(Clientes!$B$2:$B$101,MATCH(C336,Clientes!$A$2:$A$101,0))</x:f>
        <x:v>Enzo Cardoso Mendes</x:v>
      </x:c>
      <x:c r="E336" s="14" t="str">
        <x:v>PROD005</x:v>
      </x:c>
      <x:c r="F336" s="14" t="str">
        <x:f>INDEX(Produtos!$B$2:$B$11,MATCH(E336,Produtos!$A$2:$A$11,0))</x:f>
        <x:v>Luminária de Mesa LED</x:v>
      </x:c>
      <x:c r="G336" s="18" t="n">
        <x:v>3</x:v>
      </x:c>
      <x:c r="H336" s="17" t="n">
        <x:f>INDEX(Produtos!$D$2:$D$11,MATCH(E336,Produtos!$A$2:$A$11,0))</x:f>
        <x:v>89.5</x:v>
      </x:c>
      <x:c r="I336" s="17" t="n">
        <x:f>G336*H336</x:f>
        <x:v>268.5</x:v>
      </x:c>
      <x:c r="J336" s="14" t="str">
        <x:v>Cartão de crédito</x:v>
      </x:c>
      <x:c r="K336" s="14" t="str">
        <x:v>Entregue</x:v>
      </x:c>
      <x:c r="L336" s="15" t="str">
        <x:f>INDEX(Clientes!$F$2:$F$101,MATCH(C336,Clientes!$A$2:$A$101,0))</x:f>
        <x:v>PR</x:v>
      </x:c>
    </x:row>
    <x:row r="337" ht="20" customHeight="1">
      <x:c r="A337" s="13" t="str">
        <x:v>PED00336</x:v>
      </x:c>
      <x:c r="B337" s="19" t="n">
        <x:v>46270</x:v>
      </x:c>
      <x:c r="C337" s="14" t="str">
        <x:v>CLI0096</x:v>
      </x:c>
      <x:c r="D337" s="14" t="str">
        <x:f>INDEX(Clientes!$B$2:$B$101,MATCH(C337,Clientes!$A$2:$A$101,0))</x:f>
        <x:v>Bruno Farias Henrique</x:v>
      </x:c>
      <x:c r="E337" s="14" t="str">
        <x:v>PROD005</x:v>
      </x:c>
      <x:c r="F337" s="14" t="str">
        <x:f>INDEX(Produtos!$B$2:$B$11,MATCH(E337,Produtos!$A$2:$A$11,0))</x:f>
        <x:v>Luminária de Mesa LED</x:v>
      </x:c>
      <x:c r="G337" s="18" t="n">
        <x:v>1</x:v>
      </x:c>
      <x:c r="H337" s="17" t="n">
        <x:f>INDEX(Produtos!$D$2:$D$11,MATCH(E337,Produtos!$A$2:$A$11,0))</x:f>
        <x:v>89.5</x:v>
      </x:c>
      <x:c r="I337" s="17" t="n">
        <x:f>G337*H337</x:f>
        <x:v>89.5</x:v>
      </x:c>
      <x:c r="J337" s="14" t="str">
        <x:v>Boleto</x:v>
      </x:c>
      <x:c r="K337" s="14" t="str">
        <x:v>Processando</x:v>
      </x:c>
      <x:c r="L337" s="15" t="str">
        <x:f>INDEX(Clientes!$F$2:$F$101,MATCH(C337,Clientes!$A$2:$A$101,0))</x:f>
        <x:v>MG</x:v>
      </x:c>
    </x:row>
    <x:row r="338" ht="20" customHeight="1">
      <x:c r="A338" s="13" t="str">
        <x:v>PED00337</x:v>
      </x:c>
      <x:c r="B338" s="19" t="n">
        <x:v>46155</x:v>
      </x:c>
      <x:c r="C338" s="14" t="str">
        <x:v>CLI0010</x:v>
      </x:c>
      <x:c r="D338" s="14" t="str">
        <x:f>INDEX(Clientes!$B$2:$B$101,MATCH(C338,Clientes!$A$2:$A$101,0))</x:f>
        <x:v>Samuel Almeida Henrique</x:v>
      </x:c>
      <x:c r="E338" s="14" t="str">
        <x:v>PROD009</x:v>
      </x:c>
      <x:c r="F338" s="14" t="str">
        <x:f>INDEX(Produtos!$B$2:$B$11,MATCH(E338,Produtos!$A$2:$A$11,0))</x:f>
        <x:v>Carregador USB-C</x:v>
      </x:c>
      <x:c r="G338" s="18" t="n">
        <x:v>7</x:v>
      </x:c>
      <x:c r="H338" s="17" t="n">
        <x:f>INDEX(Produtos!$D$2:$D$11,MATCH(E338,Produtos!$A$2:$A$11,0))</x:f>
        <x:v>59.9</x:v>
      </x:c>
      <x:c r="I338" s="17" t="n">
        <x:f>G338*H338</x:f>
        <x:v>419.3</x:v>
      </x:c>
      <x:c r="J338" s="14" t="str">
        <x:v>Cartão de crédito</x:v>
      </x:c>
      <x:c r="K338" s="14" t="str">
        <x:v>Entregue</x:v>
      </x:c>
      <x:c r="L338" s="15" t="str">
        <x:f>INDEX(Clientes!$F$2:$F$101,MATCH(C338,Clientes!$A$2:$A$101,0))</x:f>
        <x:v>PR</x:v>
      </x:c>
    </x:row>
    <x:row r="339" ht="20" customHeight="1">
      <x:c r="A339" s="13" t="str">
        <x:v>PED00338</x:v>
      </x:c>
      <x:c r="B339" s="19" t="n">
        <x:v>46032</x:v>
      </x:c>
      <x:c r="C339" s="14" t="str">
        <x:v>CLI0028</x:v>
      </x:c>
      <x:c r="D339" s="14" t="str">
        <x:f>INDEX(Clientes!$B$2:$B$101,MATCH(C339,Clientes!$A$2:$A$101,0))</x:f>
        <x:v>Leonardo Nascimento Junqueira</x:v>
      </x:c>
      <x:c r="E339" s="14" t="str">
        <x:v>PROD003</x:v>
      </x:c>
      <x:c r="F339" s="14" t="str">
        <x:f>INDEX(Produtos!$B$2:$B$11,MATCH(E339,Produtos!$A$2:$A$11,0))</x:f>
        <x:v>Fone Bluetooth</x:v>
      </x:c>
      <x:c r="G339" s="18" t="n">
        <x:v>5</x:v>
      </x:c>
      <x:c r="H339" s="17" t="n">
        <x:f>INDEX(Produtos!$D$2:$D$11,MATCH(E339,Produtos!$A$2:$A$11,0))</x:f>
        <x:v>129.9</x:v>
      </x:c>
      <x:c r="I339" s="17" t="n">
        <x:f>G339*H339</x:f>
        <x:v>649.5</x:v>
      </x:c>
      <x:c r="J339" s="14" t="str">
        <x:v>Boleto</x:v>
      </x:c>
      <x:c r="K339" s="14" t="str">
        <x:v>Processando</x:v>
      </x:c>
      <x:c r="L339" s="15" t="str">
        <x:f>INDEX(Clientes!$F$2:$F$101,MATCH(C339,Clientes!$A$2:$A$101,0))</x:f>
        <x:v>SC</x:v>
      </x:c>
    </x:row>
    <x:row r="340" ht="20" customHeight="1">
      <x:c r="A340" s="13" t="str">
        <x:v>PED00339</x:v>
      </x:c>
      <x:c r="B340" s="19" t="n">
        <x:v>46286</x:v>
      </x:c>
      <x:c r="C340" s="14" t="str">
        <x:v>CLI0070</x:v>
      </x:c>
      <x:c r="D340" s="14" t="str">
        <x:f>INDEX(Clientes!$B$2:$B$101,MATCH(C340,Clientes!$A$2:$A$101,0))</x:f>
        <x:v>Bruno Rocha Barbosa</x:v>
      </x:c>
      <x:c r="E340" s="14" t="str">
        <x:v>PROD001</x:v>
      </x:c>
      <x:c r="F340" s="14" t="str">
        <x:f>INDEX(Produtos!$B$2:$B$11,MATCH(E340,Produtos!$A$2:$A$11,0))</x:f>
        <x:v>Caderno Universitário</x:v>
      </x:c>
      <x:c r="G340" s="18" t="n">
        <x:v>3</x:v>
      </x:c>
      <x:c r="H340" s="17" t="n">
        <x:f>INDEX(Produtos!$D$2:$D$11,MATCH(E340,Produtos!$A$2:$A$11,0))</x:f>
        <x:v>24.9</x:v>
      </x:c>
      <x:c r="I340" s="17" t="n">
        <x:f>G340*H340</x:f>
        <x:v>74.69999999999999</x:v>
      </x:c>
      <x:c r="J340" s="14" t="str">
        <x:v>Cartão de crédito</x:v>
      </x:c>
      <x:c r="K340" s="14" t="str">
        <x:v>Entregue</x:v>
      </x:c>
      <x:c r="L340" s="15" t="str">
        <x:f>INDEX(Clientes!$F$2:$F$101,MATCH(C340,Clientes!$A$2:$A$101,0))</x:f>
        <x:v>SC</x:v>
      </x:c>
    </x:row>
    <x:row r="341" ht="20" customHeight="1">
      <x:c r="A341" s="13" t="str">
        <x:v>PED00340</x:v>
      </x:c>
      <x:c r="B341" s="19" t="n">
        <x:v>46062</x:v>
      </x:c>
      <x:c r="C341" s="14" t="str">
        <x:v>CLI0020</x:v>
      </x:c>
      <x:c r="D341" s="14" t="str">
        <x:f>INDEX(Clientes!$B$2:$B$101,MATCH(C341,Clientes!$A$2:$A$101,0))</x:f>
        <x:v>João Esteves Garcia</x:v>
      </x:c>
      <x:c r="E341" s="14" t="str">
        <x:v>PROD005</x:v>
      </x:c>
      <x:c r="F341" s="14" t="str">
        <x:f>INDEX(Produtos!$B$2:$B$11,MATCH(E341,Produtos!$A$2:$A$11,0))</x:f>
        <x:v>Luminária de Mesa LED</x:v>
      </x:c>
      <x:c r="G341" s="18" t="n">
        <x:v>1</x:v>
      </x:c>
      <x:c r="H341" s="17" t="n">
        <x:f>INDEX(Produtos!$D$2:$D$11,MATCH(E341,Produtos!$A$2:$A$11,0))</x:f>
        <x:v>89.5</x:v>
      </x:c>
      <x:c r="I341" s="17" t="n">
        <x:f>G341*H341</x:f>
        <x:v>89.5</x:v>
      </x:c>
      <x:c r="J341" s="14" t="str">
        <x:v>Boleto</x:v>
      </x:c>
      <x:c r="K341" s="14" t="str">
        <x:v>Processando</x:v>
      </x:c>
      <x:c r="L341" s="15" t="str">
        <x:f>INDEX(Clientes!$F$2:$F$101,MATCH(C341,Clientes!$A$2:$A$101,0))</x:f>
        <x:v>MG</x:v>
      </x:c>
    </x:row>
    <x:row r="342" ht="20" customHeight="1">
      <x:c r="A342" s="13" t="str">
        <x:v>PED00341</x:v>
      </x:c>
      <x:c r="B342" s="19" t="n">
        <x:v>46162</x:v>
      </x:c>
      <x:c r="C342" s="14" t="str">
        <x:v>CLI0030</x:v>
      </x:c>
      <x:c r="D342" s="14" t="str">
        <x:f>INDEX(Clientes!$B$2:$B$101,MATCH(C342,Clientes!$A$2:$A$101,0))</x:f>
        <x:v>Henrique Gomes Batista</x:v>
      </x:c>
      <x:c r="E342" s="14" t="str">
        <x:v>PROD003</x:v>
      </x:c>
      <x:c r="F342" s="14" t="str">
        <x:f>INDEX(Produtos!$B$2:$B$11,MATCH(E342,Produtos!$A$2:$A$11,0))</x:f>
        <x:v>Fone Bluetooth</x:v>
      </x:c>
      <x:c r="G342" s="18" t="n">
        <x:v>7</x:v>
      </x:c>
      <x:c r="H342" s="17" t="n">
        <x:f>INDEX(Produtos!$D$2:$D$11,MATCH(E342,Produtos!$A$2:$A$11,0))</x:f>
        <x:v>129.9</x:v>
      </x:c>
      <x:c r="I342" s="17" t="n">
        <x:f>G342*H342</x:f>
        <x:v>909.3000000000001</x:v>
      </x:c>
      <x:c r="J342" s="14" t="str">
        <x:v>Cartão de crédito</x:v>
      </x:c>
      <x:c r="K342" s="14" t="str">
        <x:v>Entregue</x:v>
      </x:c>
      <x:c r="L342" s="15" t="str">
        <x:f>INDEX(Clientes!$F$2:$F$101,MATCH(C342,Clientes!$A$2:$A$101,0))</x:f>
        <x:v>SP</x:v>
      </x:c>
    </x:row>
    <x:row r="343" ht="20" customHeight="1">
      <x:c r="A343" s="13" t="str">
        <x:v>PED00342</x:v>
      </x:c>
      <x:c r="B343" s="19" t="n">
        <x:v>46217</x:v>
      </x:c>
      <x:c r="C343" s="14" t="str">
        <x:v>CLI0048</x:v>
      </x:c>
      <x:c r="D343" s="14" t="str">
        <x:f>INDEX(Clientes!$B$2:$B$101,MATCH(C343,Clientes!$A$2:$A$101,0))</x:f>
        <x:v>Daniel Nascimento Barbosa</x:v>
      </x:c>
      <x:c r="E343" s="14" t="str">
        <x:v>PROD003</x:v>
      </x:c>
      <x:c r="F343" s="14" t="str">
        <x:f>INDEX(Produtos!$B$2:$B$11,MATCH(E343,Produtos!$A$2:$A$11,0))</x:f>
        <x:v>Fone Bluetooth</x:v>
      </x:c>
      <x:c r="G343" s="18" t="n">
        <x:v>5</x:v>
      </x:c>
      <x:c r="H343" s="17" t="n">
        <x:f>INDEX(Produtos!$D$2:$D$11,MATCH(E343,Produtos!$A$2:$A$11,0))</x:f>
        <x:v>129.9</x:v>
      </x:c>
      <x:c r="I343" s="17" t="n">
        <x:f>G343*H343</x:f>
        <x:v>649.5</x:v>
      </x:c>
      <x:c r="J343" s="14" t="str">
        <x:v>Boleto</x:v>
      </x:c>
      <x:c r="K343" s="14" t="str">
        <x:v>Processando</x:v>
      </x:c>
      <x:c r="L343" s="15" t="str">
        <x:f>INDEX(Clientes!$F$2:$F$101,MATCH(C343,Clientes!$A$2:$A$101,0))</x:f>
        <x:v>SP</x:v>
      </x:c>
    </x:row>
    <x:row r="344" ht="20" customHeight="1">
      <x:c r="A344" s="13" t="str">
        <x:v>PED00343</x:v>
      </x:c>
      <x:c r="B344" s="19" t="n">
        <x:v>46104</x:v>
      </x:c>
      <x:c r="C344" s="14" t="str">
        <x:v>CLI0054</x:v>
      </x:c>
      <x:c r="D344" s="14" t="str">
        <x:f>INDEX(Clientes!$B$2:$B$101,MATCH(C344,Clientes!$A$2:$A$101,0))</x:f>
        <x:v>Lucas Farias Ferreira</x:v>
      </x:c>
      <x:c r="E344" s="14" t="str">
        <x:v>PROD001</x:v>
      </x:c>
      <x:c r="F344" s="14" t="str">
        <x:f>INDEX(Produtos!$B$2:$B$11,MATCH(E344,Produtos!$A$2:$A$11,0))</x:f>
        <x:v>Caderno Universitário</x:v>
      </x:c>
      <x:c r="G344" s="18" t="n">
        <x:v>3</x:v>
      </x:c>
      <x:c r="H344" s="17" t="n">
        <x:f>INDEX(Produtos!$D$2:$D$11,MATCH(E344,Produtos!$A$2:$A$11,0))</x:f>
        <x:v>24.9</x:v>
      </x:c>
      <x:c r="I344" s="17" t="n">
        <x:f>G344*H344</x:f>
        <x:v>74.69999999999999</x:v>
      </x:c>
      <x:c r="J344" s="14" t="str">
        <x:v>Cartão de crédito</x:v>
      </x:c>
      <x:c r="K344" s="14" t="str">
        <x:v>Entregue</x:v>
      </x:c>
      <x:c r="L344" s="15" t="str">
        <x:f>INDEX(Clientes!$F$2:$F$101,MATCH(C344,Clientes!$A$2:$A$101,0))</x:f>
        <x:v>SC</x:v>
      </x:c>
    </x:row>
    <x:row r="345" ht="20" customHeight="1">
      <x:c r="A345" s="13" t="str">
        <x:v>PED00344</x:v>
      </x:c>
      <x:c r="B345" s="19" t="n">
        <x:v>46194</x:v>
      </x:c>
      <x:c r="C345" s="14" t="str">
        <x:v>CLI0072</x:v>
      </x:c>
      <x:c r="D345" s="14" t="str">
        <x:f>INDEX(Clientes!$B$2:$B$101,MATCH(C345,Clientes!$A$2:$A$101,0))</x:f>
        <x:v>Leonardo Farias Dias</x:v>
      </x:c>
      <x:c r="E345" s="14" t="str">
        <x:v>PROD001</x:v>
      </x:c>
      <x:c r="F345" s="14" t="str">
        <x:f>INDEX(Produtos!$B$2:$B$11,MATCH(E345,Produtos!$A$2:$A$11,0))</x:f>
        <x:v>Caderno Universitário</x:v>
      </x:c>
      <x:c r="G345" s="18" t="n">
        <x:v>1</x:v>
      </x:c>
      <x:c r="H345" s="17" t="n">
        <x:f>INDEX(Produtos!$D$2:$D$11,MATCH(E345,Produtos!$A$2:$A$11,0))</x:f>
        <x:v>24.9</x:v>
      </x:c>
      <x:c r="I345" s="17" t="n">
        <x:f>G345*H345</x:f>
        <x:v>24.9</x:v>
      </x:c>
      <x:c r="J345" s="14" t="str">
        <x:v>Boleto</x:v>
      </x:c>
      <x:c r="K345" s="14" t="str">
        <x:v>Processando</x:v>
      </x:c>
      <x:c r="L345" s="15" t="str">
        <x:f>INDEX(Clientes!$F$2:$F$101,MATCH(C345,Clientes!$A$2:$A$101,0))</x:f>
        <x:v>SP</x:v>
      </x:c>
    </x:row>
    <x:row r="346" ht="20" customHeight="1">
      <x:c r="A346" s="13" t="str">
        <x:v>PED00345</x:v>
      </x:c>
      <x:c r="B346" s="19" t="n">
        <x:v>46255</x:v>
      </x:c>
      <x:c r="C346" s="14" t="str">
        <x:v>CLI0022</x:v>
      </x:c>
      <x:c r="D346" s="14" t="str">
        <x:f>INDEX(Clientes!$B$2:$B$101,MATCH(C346,Clientes!$A$2:$A$101,0))</x:f>
        <x:v>Bruno Teixeira Souza</x:v>
      </x:c>
      <x:c r="E346" s="14" t="str">
        <x:v>PROD001</x:v>
      </x:c>
      <x:c r="F346" s="14" t="str">
        <x:f>INDEX(Produtos!$B$2:$B$11,MATCH(E346,Produtos!$A$2:$A$11,0))</x:f>
        <x:v>Caderno Universitário</x:v>
      </x:c>
      <x:c r="G346" s="18" t="n">
        <x:v>7</x:v>
      </x:c>
      <x:c r="H346" s="17" t="n">
        <x:f>INDEX(Produtos!$D$2:$D$11,MATCH(E346,Produtos!$A$2:$A$11,0))</x:f>
        <x:v>24.9</x:v>
      </x:c>
      <x:c r="I346" s="17" t="n">
        <x:f>G346*H346</x:f>
        <x:v>174.29999999999998</x:v>
      </x:c>
      <x:c r="J346" s="14" t="str">
        <x:v>Cartão de crédito</x:v>
      </x:c>
      <x:c r="K346" s="14" t="str">
        <x:v>Entregue</x:v>
      </x:c>
      <x:c r="L346" s="15" t="str">
        <x:f>INDEX(Clientes!$F$2:$F$101,MATCH(C346,Clientes!$A$2:$A$101,0))</x:f>
        <x:v>SC</x:v>
      </x:c>
    </x:row>
    <x:row r="347" ht="20" customHeight="1">
      <x:c r="A347" s="13" t="str">
        <x:v>PED00346</x:v>
      </x:c>
      <x:c r="B347" s="19" t="n">
        <x:v>46090</x:v>
      </x:c>
      <x:c r="C347" s="14" t="str">
        <x:v>CLI0024</x:v>
      </x:c>
      <x:c r="D347" s="14" t="str">
        <x:f>INDEX(Clientes!$B$2:$B$101,MATCH(C347,Clientes!$A$2:$A$101,0))</x:f>
        <x:v>João Cardoso Duarte</x:v>
      </x:c>
      <x:c r="E347" s="14" t="str">
        <x:v>PROD001</x:v>
      </x:c>
      <x:c r="F347" s="14" t="str">
        <x:f>INDEX(Produtos!$B$2:$B$11,MATCH(E347,Produtos!$A$2:$A$11,0))</x:f>
        <x:v>Caderno Universitário</x:v>
      </x:c>
      <x:c r="G347" s="18" t="n">
        <x:v>5</x:v>
      </x:c>
      <x:c r="H347" s="17" t="n">
        <x:f>INDEX(Produtos!$D$2:$D$11,MATCH(E347,Produtos!$A$2:$A$11,0))</x:f>
        <x:v>24.9</x:v>
      </x:c>
      <x:c r="I347" s="17" t="n">
        <x:f>G347*H347</x:f>
        <x:v>124.5</x:v>
      </x:c>
      <x:c r="J347" s="14" t="str">
        <x:v>Boleto</x:v>
      </x:c>
      <x:c r="K347" s="14" t="str">
        <x:v>Processando</x:v>
      </x:c>
      <x:c r="L347" s="15" t="str">
        <x:f>INDEX(Clientes!$F$2:$F$101,MATCH(C347,Clientes!$A$2:$A$101,0))</x:f>
        <x:v>SP</x:v>
      </x:c>
    </x:row>
    <x:row r="348" ht="20" customHeight="1">
      <x:c r="A348" s="13" t="str">
        <x:v>PED00347</x:v>
      </x:c>
      <x:c r="B348" s="19" t="n">
        <x:v>46140</x:v>
      </x:c>
      <x:c r="C348" s="14" t="str">
        <x:v>CLI0010</x:v>
      </x:c>
      <x:c r="D348" s="14" t="str">
        <x:f>INDEX(Clientes!$B$2:$B$101,MATCH(C348,Clientes!$A$2:$A$101,0))</x:f>
        <x:v>Samuel Almeida Henrique</x:v>
      </x:c>
      <x:c r="E348" s="14" t="str">
        <x:v>PROD009</x:v>
      </x:c>
      <x:c r="F348" s="14" t="str">
        <x:f>INDEX(Produtos!$B$2:$B$11,MATCH(E348,Produtos!$A$2:$A$11,0))</x:f>
        <x:v>Carregador USB-C</x:v>
      </x:c>
      <x:c r="G348" s="18" t="n">
        <x:v>3</x:v>
      </x:c>
      <x:c r="H348" s="17" t="n">
        <x:f>INDEX(Produtos!$D$2:$D$11,MATCH(E348,Produtos!$A$2:$A$11,0))</x:f>
        <x:v>59.9</x:v>
      </x:c>
      <x:c r="I348" s="17" t="n">
        <x:f>G348*H348</x:f>
        <x:v>179.7</x:v>
      </x:c>
      <x:c r="J348" s="14" t="str">
        <x:v>Cartão de crédito</x:v>
      </x:c>
      <x:c r="K348" s="14" t="str">
        <x:v>Entregue</x:v>
      </x:c>
      <x:c r="L348" s="15" t="str">
        <x:f>INDEX(Clientes!$F$2:$F$101,MATCH(C348,Clientes!$A$2:$A$101,0))</x:f>
        <x:v>PR</x:v>
      </x:c>
    </x:row>
    <x:row r="349" ht="20" customHeight="1">
      <x:c r="A349" s="13" t="str">
        <x:v>PED00348</x:v>
      </x:c>
      <x:c r="B349" s="19" t="n">
        <x:v>46266</x:v>
      </x:c>
      <x:c r="C349" s="14" t="str">
        <x:v>CLI0084</x:v>
      </x:c>
      <x:c r="D349" s="14" t="str">
        <x:f>INDEX(Clientes!$B$2:$B$101,MATCH(C349,Clientes!$A$2:$A$101,0))</x:f>
        <x:v>Lucas Ibrahim Garcia</x:v>
      </x:c>
      <x:c r="E349" s="14" t="str">
        <x:v>PROD007</x:v>
      </x:c>
      <x:c r="F349" s="14" t="str">
        <x:f>INDEX(Produtos!$B$2:$B$11,MATCH(E349,Produtos!$A$2:$A$11,0))</x:f>
        <x:v>Caneca Cerâmica</x:v>
      </x:c>
      <x:c r="G349" s="18" t="n">
        <x:v>1</x:v>
      </x:c>
      <x:c r="H349" s="17" t="n">
        <x:f>INDEX(Produtos!$D$2:$D$11,MATCH(E349,Produtos!$A$2:$A$11,0))</x:f>
        <x:v>32</x:v>
      </x:c>
      <x:c r="I349" s="17" t="n">
        <x:f>G349*H349</x:f>
        <x:v>32</x:v>
      </x:c>
      <x:c r="J349" s="14" t="str">
        <x:v>Boleto</x:v>
      </x:c>
      <x:c r="K349" s="14" t="str">
        <x:v>Processando</x:v>
      </x:c>
      <x:c r="L349" s="15" t="str">
        <x:f>INDEX(Clientes!$F$2:$F$101,MATCH(C349,Clientes!$A$2:$A$101,0))</x:f>
        <x:v>PR</x:v>
      </x:c>
    </x:row>
    <x:row r="350" ht="20" customHeight="1">
      <x:c r="A350" s="13" t="str">
        <x:v>PED00349</x:v>
      </x:c>
      <x:c r="B350" s="19" t="n">
        <x:v>46066</x:v>
      </x:c>
      <x:c r="C350" s="14" t="str">
        <x:v>CLI0010</x:v>
      </x:c>
      <x:c r="D350" s="14" t="str">
        <x:f>INDEX(Clientes!$B$2:$B$101,MATCH(C350,Clientes!$A$2:$A$101,0))</x:f>
        <x:v>Samuel Almeida Henrique</x:v>
      </x:c>
      <x:c r="E350" s="14" t="str">
        <x:v>PROD003</x:v>
      </x:c>
      <x:c r="F350" s="14" t="str">
        <x:f>INDEX(Produtos!$B$2:$B$11,MATCH(E350,Produtos!$A$2:$A$11,0))</x:f>
        <x:v>Fone Bluetooth</x:v>
      </x:c>
      <x:c r="G350" s="18" t="n">
        <x:v>7</x:v>
      </x:c>
      <x:c r="H350" s="17" t="n">
        <x:f>INDEX(Produtos!$D$2:$D$11,MATCH(E350,Produtos!$A$2:$A$11,0))</x:f>
        <x:v>129.9</x:v>
      </x:c>
      <x:c r="I350" s="17" t="n">
        <x:f>G350*H350</x:f>
        <x:v>909.3000000000001</x:v>
      </x:c>
      <x:c r="J350" s="14" t="str">
        <x:v>Cartão de crédito</x:v>
      </x:c>
      <x:c r="K350" s="14" t="str">
        <x:v>Entregue</x:v>
      </x:c>
      <x:c r="L350" s="15" t="str">
        <x:f>INDEX(Clientes!$F$2:$F$101,MATCH(C350,Clientes!$A$2:$A$101,0))</x:f>
        <x:v>PR</x:v>
      </x:c>
    </x:row>
    <x:row r="351" ht="20" customHeight="1">
      <x:c r="A351" s="13" t="str">
        <x:v>PED00350</x:v>
      </x:c>
      <x:c r="B351" s="19" t="n">
        <x:v>46090</x:v>
      </x:c>
      <x:c r="C351" s="14" t="str">
        <x:v>CLI0036</x:v>
      </x:c>
      <x:c r="D351" s="14" t="str">
        <x:f>INDEX(Clientes!$B$2:$B$101,MATCH(C351,Clientes!$A$2:$A$101,0))</x:f>
        <x:v>Enzo Teixeira Machado</x:v>
      </x:c>
      <x:c r="E351" s="14" t="str">
        <x:v>PROD007</x:v>
      </x:c>
      <x:c r="F351" s="14" t="str">
        <x:f>INDEX(Produtos!$B$2:$B$11,MATCH(E351,Produtos!$A$2:$A$11,0))</x:f>
        <x:v>Caneca Cerâmica</x:v>
      </x:c>
      <x:c r="G351" s="18" t="n">
        <x:v>5</x:v>
      </x:c>
      <x:c r="H351" s="17" t="n">
        <x:f>INDEX(Produtos!$D$2:$D$11,MATCH(E351,Produtos!$A$2:$A$11,0))</x:f>
        <x:v>32</x:v>
      </x:c>
      <x:c r="I351" s="17" t="n">
        <x:f>G351*H351</x:f>
        <x:v>160</x:v>
      </x:c>
      <x:c r="J351" s="14" t="str">
        <x:v>Boleto</x:v>
      </x:c>
      <x:c r="K351" s="14" t="str">
        <x:v>Processando</x:v>
      </x:c>
      <x:c r="L351" s="15" t="str">
        <x:f>INDEX(Clientes!$F$2:$F$101,MATCH(C351,Clientes!$A$2:$A$101,0))</x:f>
        <x:v>SP</x:v>
      </x:c>
    </x:row>
    <x:row r="352" ht="20" customHeight="1">
      <x:c r="A352" s="13" t="str">
        <x:v>PED00351</x:v>
      </x:c>
      <x:c r="B352" s="19" t="n">
        <x:v>46171</x:v>
      </x:c>
      <x:c r="C352" s="14" t="str">
        <x:v>CLI0098</x:v>
      </x:c>
      <x:c r="D352" s="14" t="str">
        <x:f>INDEX(Clientes!$B$2:$B$101,MATCH(C352,Clientes!$A$2:$A$101,0))</x:f>
        <x:v>Pedro Lopes Vargas</x:v>
      </x:c>
      <x:c r="E352" s="14" t="str">
        <x:v>PROD003</x:v>
      </x:c>
      <x:c r="F352" s="14" t="str">
        <x:f>INDEX(Produtos!$B$2:$B$11,MATCH(E352,Produtos!$A$2:$A$11,0))</x:f>
        <x:v>Fone Bluetooth</x:v>
      </x:c>
      <x:c r="G352" s="18" t="n">
        <x:v>3</x:v>
      </x:c>
      <x:c r="H352" s="17" t="n">
        <x:f>INDEX(Produtos!$D$2:$D$11,MATCH(E352,Produtos!$A$2:$A$11,0))</x:f>
        <x:v>129.9</x:v>
      </x:c>
      <x:c r="I352" s="17" t="n">
        <x:f>G352*H352</x:f>
        <x:v>389.70000000000005</x:v>
      </x:c>
      <x:c r="J352" s="14" t="str">
        <x:v>Cartão de crédito</x:v>
      </x:c>
      <x:c r="K352" s="14" t="str">
        <x:v>Entregue</x:v>
      </x:c>
      <x:c r="L352" s="15" t="str">
        <x:f>INDEX(Clientes!$F$2:$F$101,MATCH(C352,Clientes!$A$2:$A$101,0))</x:f>
        <x:v>BA</x:v>
      </x:c>
    </x:row>
    <x:row r="353" ht="20" customHeight="1">
      <x:c r="A353" s="13" t="str">
        <x:v>PED00352</x:v>
      </x:c>
      <x:c r="B353" s="19" t="n">
        <x:v>46248</x:v>
      </x:c>
      <x:c r="C353" s="14" t="str">
        <x:v>CLI0036</x:v>
      </x:c>
      <x:c r="D353" s="14" t="str">
        <x:f>INDEX(Clientes!$B$2:$B$101,MATCH(C353,Clientes!$A$2:$A$101,0))</x:f>
        <x:v>Enzo Teixeira Machado</x:v>
      </x:c>
      <x:c r="E353" s="14" t="str">
        <x:v>PROD005</x:v>
      </x:c>
      <x:c r="F353" s="14" t="str">
        <x:f>INDEX(Produtos!$B$2:$B$11,MATCH(E353,Produtos!$A$2:$A$11,0))</x:f>
        <x:v>Luminária de Mesa LED</x:v>
      </x:c>
      <x:c r="G353" s="18" t="n">
        <x:v>1</x:v>
      </x:c>
      <x:c r="H353" s="17" t="n">
        <x:f>INDEX(Produtos!$D$2:$D$11,MATCH(E353,Produtos!$A$2:$A$11,0))</x:f>
        <x:v>89.5</x:v>
      </x:c>
      <x:c r="I353" s="17" t="n">
        <x:f>G353*H353</x:f>
        <x:v>89.5</x:v>
      </x:c>
      <x:c r="J353" s="14" t="str">
        <x:v>Boleto</x:v>
      </x:c>
      <x:c r="K353" s="14" t="str">
        <x:v>Processando</x:v>
      </x:c>
      <x:c r="L353" s="15" t="str">
        <x:f>INDEX(Clientes!$F$2:$F$101,MATCH(C353,Clientes!$A$2:$A$101,0))</x:f>
        <x:v>SP</x:v>
      </x:c>
    </x:row>
    <x:row r="354" ht="20" customHeight="1">
      <x:c r="A354" s="13" t="str">
        <x:v>PED00353</x:v>
      </x:c>
      <x:c r="B354" s="19" t="n">
        <x:v>46197</x:v>
      </x:c>
      <x:c r="C354" s="14" t="str">
        <x:v>CLI0018</x:v>
      </x:c>
      <x:c r="D354" s="14" t="str">
        <x:f>INDEX(Clientes!$B$2:$B$101,MATCH(C354,Clientes!$A$2:$A$101,0))</x:f>
        <x:v>Bruno Cardoso Dias</x:v>
      </x:c>
      <x:c r="E354" s="14" t="str">
        <x:v>PROD005</x:v>
      </x:c>
      <x:c r="F354" s="14" t="str">
        <x:f>INDEX(Produtos!$B$2:$B$11,MATCH(E354,Produtos!$A$2:$A$11,0))</x:f>
        <x:v>Luminária de Mesa LED</x:v>
      </x:c>
      <x:c r="G354" s="18" t="n">
        <x:v>7</x:v>
      </x:c>
      <x:c r="H354" s="17" t="n">
        <x:f>INDEX(Produtos!$D$2:$D$11,MATCH(E354,Produtos!$A$2:$A$11,0))</x:f>
        <x:v>89.5</x:v>
      </x:c>
      <x:c r="I354" s="17" t="n">
        <x:f>G354*H354</x:f>
        <x:v>626.5</x:v>
      </x:c>
      <x:c r="J354" s="14" t="str">
        <x:v>Cartão de crédito</x:v>
      </x:c>
      <x:c r="K354" s="14" t="str">
        <x:v>Entregue</x:v>
      </x:c>
      <x:c r="L354" s="15" t="str">
        <x:f>INDEX(Clientes!$F$2:$F$101,MATCH(C354,Clientes!$A$2:$A$101,0))</x:f>
        <x:v>BA</x:v>
      </x:c>
    </x:row>
    <x:row r="355" ht="20" customHeight="1">
      <x:c r="A355" s="13" t="str">
        <x:v>PED00354</x:v>
      </x:c>
      <x:c r="B355" s="19" t="n">
        <x:v>46068</x:v>
      </x:c>
      <x:c r="C355" s="14" t="str">
        <x:v>CLI0096</x:v>
      </x:c>
      <x:c r="D355" s="14" t="str">
        <x:f>INDEX(Clientes!$B$2:$B$101,MATCH(C355,Clientes!$A$2:$A$101,0))</x:f>
        <x:v>Bruno Farias Henrique</x:v>
      </x:c>
      <x:c r="E355" s="14" t="str">
        <x:v>PROD007</x:v>
      </x:c>
      <x:c r="F355" s="14" t="str">
        <x:f>INDEX(Produtos!$B$2:$B$11,MATCH(E355,Produtos!$A$2:$A$11,0))</x:f>
        <x:v>Caneca Cerâmica</x:v>
      </x:c>
      <x:c r="G355" s="18" t="n">
        <x:v>5</x:v>
      </x:c>
      <x:c r="H355" s="17" t="n">
        <x:f>INDEX(Produtos!$D$2:$D$11,MATCH(E355,Produtos!$A$2:$A$11,0))</x:f>
        <x:v>32</x:v>
      </x:c>
      <x:c r="I355" s="17" t="n">
        <x:f>G355*H355</x:f>
        <x:v>160</x:v>
      </x:c>
      <x:c r="J355" s="14" t="str">
        <x:v>Boleto</x:v>
      </x:c>
      <x:c r="K355" s="14" t="str">
        <x:v>Processando</x:v>
      </x:c>
      <x:c r="L355" s="15" t="str">
        <x:f>INDEX(Clientes!$F$2:$F$101,MATCH(C355,Clientes!$A$2:$A$101,0))</x:f>
        <x:v>MG</x:v>
      </x:c>
    </x:row>
    <x:row r="356" ht="20" customHeight="1">
      <x:c r="A356" s="13" t="str">
        <x:v>PED00355</x:v>
      </x:c>
      <x:c r="B356" s="19" t="n">
        <x:v>46175</x:v>
      </x:c>
      <x:c r="C356" s="14" t="str">
        <x:v>CLI0026</x:v>
      </x:c>
      <x:c r="D356" s="14" t="str">
        <x:f>INDEX(Clientes!$B$2:$B$101,MATCH(C356,Clientes!$A$2:$A$101,0))</x:f>
        <x:v>Henrique Lopes Henrique</x:v>
      </x:c>
      <x:c r="E356" s="14" t="str">
        <x:v>PROD007</x:v>
      </x:c>
      <x:c r="F356" s="14" t="str">
        <x:f>INDEX(Produtos!$B$2:$B$11,MATCH(E356,Produtos!$A$2:$A$11,0))</x:f>
        <x:v>Caneca Cerâmica</x:v>
      </x:c>
      <x:c r="G356" s="18" t="n">
        <x:v>3</x:v>
      </x:c>
      <x:c r="H356" s="17" t="n">
        <x:f>INDEX(Produtos!$D$2:$D$11,MATCH(E356,Produtos!$A$2:$A$11,0))</x:f>
        <x:v>32</x:v>
      </x:c>
      <x:c r="I356" s="17" t="n">
        <x:f>G356*H356</x:f>
        <x:v>96</x:v>
      </x:c>
      <x:c r="J356" s="14" t="str">
        <x:v>Cartão de crédito</x:v>
      </x:c>
      <x:c r="K356" s="14" t="str">
        <x:v>Entregue</x:v>
      </x:c>
      <x:c r="L356" s="15" t="str">
        <x:f>INDEX(Clientes!$F$2:$F$101,MATCH(C356,Clientes!$A$2:$A$101,0))</x:f>
        <x:v>SP</x:v>
      </x:c>
    </x:row>
    <x:row r="357" ht="20" customHeight="1">
      <x:c r="A357" s="13" t="str">
        <x:v>PED00356</x:v>
      </x:c>
      <x:c r="B357" s="19" t="n">
        <x:v>46287</x:v>
      </x:c>
      <x:c r="C357" s="14" t="str">
        <x:v>CLI0032</x:v>
      </x:c>
      <x:c r="D357" s="14" t="str">
        <x:f>INDEX(Clientes!$B$2:$B$101,MATCH(C357,Clientes!$A$2:$A$101,0))</x:f>
        <x:v>Leonardo Lima Oliveira</x:v>
      </x:c>
      <x:c r="E357" s="14" t="str">
        <x:v>PROD001</x:v>
      </x:c>
      <x:c r="F357" s="14" t="str">
        <x:f>INDEX(Produtos!$B$2:$B$11,MATCH(E357,Produtos!$A$2:$A$11,0))</x:f>
        <x:v>Caderno Universitário</x:v>
      </x:c>
      <x:c r="G357" s="18" t="n">
        <x:v>1</x:v>
      </x:c>
      <x:c r="H357" s="17" t="n">
        <x:f>INDEX(Produtos!$D$2:$D$11,MATCH(E357,Produtos!$A$2:$A$11,0))</x:f>
        <x:v>24.9</x:v>
      </x:c>
      <x:c r="I357" s="17" t="n">
        <x:f>G357*H357</x:f>
        <x:v>24.9</x:v>
      </x:c>
      <x:c r="J357" s="14" t="str">
        <x:v>Boleto</x:v>
      </x:c>
      <x:c r="K357" s="14" t="str">
        <x:v>Processando</x:v>
      </x:c>
      <x:c r="L357" s="15" t="str">
        <x:f>INDEX(Clientes!$F$2:$F$101,MATCH(C357,Clientes!$A$2:$A$101,0))</x:f>
        <x:v>PR</x:v>
      </x:c>
    </x:row>
    <x:row r="358" ht="20" customHeight="1">
      <x:c r="A358" s="13" t="str">
        <x:v>PED00357</x:v>
      </x:c>
      <x:c r="B358" s="19" t="n">
        <x:v>46104</x:v>
      </x:c>
      <x:c r="C358" s="14" t="str">
        <x:v>CLI0070</x:v>
      </x:c>
      <x:c r="D358" s="14" t="str">
        <x:f>INDEX(Clientes!$B$2:$B$101,MATCH(C358,Clientes!$A$2:$A$101,0))</x:f>
        <x:v>Bruno Rocha Barbosa</x:v>
      </x:c>
      <x:c r="E358" s="14" t="str">
        <x:v>PROD007</x:v>
      </x:c>
      <x:c r="F358" s="14" t="str">
        <x:f>INDEX(Produtos!$B$2:$B$11,MATCH(E358,Produtos!$A$2:$A$11,0))</x:f>
        <x:v>Caneca Cerâmica</x:v>
      </x:c>
      <x:c r="G358" s="18" t="n">
        <x:v>7</x:v>
      </x:c>
      <x:c r="H358" s="17" t="n">
        <x:f>INDEX(Produtos!$D$2:$D$11,MATCH(E358,Produtos!$A$2:$A$11,0))</x:f>
        <x:v>32</x:v>
      </x:c>
      <x:c r="I358" s="17" t="n">
        <x:f>G358*H358</x:f>
        <x:v>224</x:v>
      </x:c>
      <x:c r="J358" s="14" t="str">
        <x:v>Cartão de crédito</x:v>
      </x:c>
      <x:c r="K358" s="14" t="str">
        <x:v>Entregue</x:v>
      </x:c>
      <x:c r="L358" s="15" t="str">
        <x:f>INDEX(Clientes!$F$2:$F$101,MATCH(C358,Clientes!$A$2:$A$101,0))</x:f>
        <x:v>SC</x:v>
      </x:c>
    </x:row>
    <x:row r="359" ht="20" customHeight="1">
      <x:c r="A359" s="13" t="str">
        <x:v>PED00358</x:v>
      </x:c>
      <x:c r="B359" s="19" t="n">
        <x:v>46241</x:v>
      </x:c>
      <x:c r="C359" s="14" t="str">
        <x:v>CLI0052</x:v>
      </x:c>
      <x:c r="D359" s="14" t="str">
        <x:f>INDEX(Clientes!$B$2:$B$101,MATCH(C359,Clientes!$A$2:$A$101,0))</x:f>
        <x:v>Caio Rocha Dias</x:v>
      </x:c>
      <x:c r="E359" s="14" t="str">
        <x:v>PROD001</x:v>
      </x:c>
      <x:c r="F359" s="14" t="str">
        <x:f>INDEX(Produtos!$B$2:$B$11,MATCH(E359,Produtos!$A$2:$A$11,0))</x:f>
        <x:v>Caderno Universitário</x:v>
      </x:c>
      <x:c r="G359" s="18" t="n">
        <x:v>5</x:v>
      </x:c>
      <x:c r="H359" s="17" t="n">
        <x:f>INDEX(Produtos!$D$2:$D$11,MATCH(E359,Produtos!$A$2:$A$11,0))</x:f>
        <x:v>24.9</x:v>
      </x:c>
      <x:c r="I359" s="17" t="n">
        <x:f>G359*H359</x:f>
        <x:v>124.5</x:v>
      </x:c>
      <x:c r="J359" s="14" t="str">
        <x:v>Boleto</x:v>
      </x:c>
      <x:c r="K359" s="14" t="str">
        <x:v>Processando</x:v>
      </x:c>
      <x:c r="L359" s="15" t="str">
        <x:f>INDEX(Clientes!$F$2:$F$101,MATCH(C359,Clientes!$A$2:$A$101,0))</x:f>
        <x:v>SP</x:v>
      </x:c>
    </x:row>
    <x:row r="360" ht="20" customHeight="1">
      <x:c r="A360" s="13" t="str">
        <x:v>PED00359</x:v>
      </x:c>
      <x:c r="B360" s="19" t="n">
        <x:v>46237</x:v>
      </x:c>
      <x:c r="C360" s="14" t="str">
        <x:v>CLI0034</x:v>
      </x:c>
      <x:c r="D360" s="14" t="str">
        <x:f>INDEX(Clientes!$B$2:$B$101,MATCH(C360,Clientes!$A$2:$A$101,0))</x:f>
        <x:v>Igor Nascimento Garcia</x:v>
      </x:c>
      <x:c r="E360" s="14" t="str">
        <x:v>PROD003</x:v>
      </x:c>
      <x:c r="F360" s="14" t="str">
        <x:f>INDEX(Produtos!$B$2:$B$11,MATCH(E360,Produtos!$A$2:$A$11,0))</x:f>
        <x:v>Fone Bluetooth</x:v>
      </x:c>
      <x:c r="G360" s="18" t="n">
        <x:v>3</x:v>
      </x:c>
      <x:c r="H360" s="17" t="n">
        <x:f>INDEX(Produtos!$D$2:$D$11,MATCH(E360,Produtos!$A$2:$A$11,0))</x:f>
        <x:v>129.9</x:v>
      </x:c>
      <x:c r="I360" s="17" t="n">
        <x:f>G360*H360</x:f>
        <x:v>389.70000000000005</x:v>
      </x:c>
      <x:c r="J360" s="14" t="str">
        <x:v>Cartão de crédito</x:v>
      </x:c>
      <x:c r="K360" s="14" t="str">
        <x:v>Entregue</x:v>
      </x:c>
      <x:c r="L360" s="15" t="str">
        <x:f>INDEX(Clientes!$F$2:$F$101,MATCH(C360,Clientes!$A$2:$A$101,0))</x:f>
        <x:v>PR</x:v>
      </x:c>
    </x:row>
    <x:row r="361" ht="20" customHeight="1">
      <x:c r="A361" s="13" t="str">
        <x:v>PED00360</x:v>
      </x:c>
      <x:c r="B361" s="19" t="n">
        <x:v>46172</x:v>
      </x:c>
      <x:c r="C361" s="14" t="str">
        <x:v>CLI0016</x:v>
      </x:c>
      <x:c r="D361" s="14" t="str">
        <x:f>INDEX(Clientes!$B$2:$B$101,MATCH(C361,Clientes!$A$2:$A$101,0))</x:f>
        <x:v>Lucas Costa Junqueira</x:v>
      </x:c>
      <x:c r="E361" s="14" t="str">
        <x:v>PROD005</x:v>
      </x:c>
      <x:c r="F361" s="14" t="str">
        <x:f>INDEX(Produtos!$B$2:$B$11,MATCH(E361,Produtos!$A$2:$A$11,0))</x:f>
        <x:v>Luminária de Mesa LED</x:v>
      </x:c>
      <x:c r="G361" s="18" t="n">
        <x:v>1</x:v>
      </x:c>
      <x:c r="H361" s="17" t="n">
        <x:f>INDEX(Produtos!$D$2:$D$11,MATCH(E361,Produtos!$A$2:$A$11,0))</x:f>
        <x:v>89.5</x:v>
      </x:c>
      <x:c r="I361" s="17" t="n">
        <x:f>G361*H361</x:f>
        <x:v>89.5</x:v>
      </x:c>
      <x:c r="J361" s="14" t="str">
        <x:v>Boleto</x:v>
      </x:c>
      <x:c r="K361" s="14" t="str">
        <x:v>Processando</x:v>
      </x:c>
      <x:c r="L361" s="15" t="str">
        <x:f>INDEX(Clientes!$F$2:$F$101,MATCH(C361,Clientes!$A$2:$A$101,0))</x:f>
        <x:v>MG</x:v>
      </x:c>
    </x:row>
    <x:row r="362" ht="20" customHeight="1">
      <x:c r="A362" s="13" t="str">
        <x:v>PED00361</x:v>
      </x:c>
      <x:c r="B362" s="19" t="n">
        <x:v>46186</x:v>
      </x:c>
      <x:c r="C362" s="14" t="str">
        <x:v>CLI0018</x:v>
      </x:c>
      <x:c r="D362" s="14" t="str">
        <x:f>INDEX(Clientes!$B$2:$B$101,MATCH(C362,Clientes!$A$2:$A$101,0))</x:f>
        <x:v>Bruno Cardoso Dias</x:v>
      </x:c>
      <x:c r="E362" s="14" t="str">
        <x:v>PROD009</x:v>
      </x:c>
      <x:c r="F362" s="14" t="str">
        <x:f>INDEX(Produtos!$B$2:$B$11,MATCH(E362,Produtos!$A$2:$A$11,0))</x:f>
        <x:v>Carregador USB-C</x:v>
      </x:c>
      <x:c r="G362" s="18" t="n">
        <x:v>7</x:v>
      </x:c>
      <x:c r="H362" s="17" t="n">
        <x:f>INDEX(Produtos!$D$2:$D$11,MATCH(E362,Produtos!$A$2:$A$11,0))</x:f>
        <x:v>59.9</x:v>
      </x:c>
      <x:c r="I362" s="17" t="n">
        <x:f>G362*H362</x:f>
        <x:v>419.3</x:v>
      </x:c>
      <x:c r="J362" s="14" t="str">
        <x:v>Cartão de crédito</x:v>
      </x:c>
      <x:c r="K362" s="14" t="str">
        <x:v>Entregue</x:v>
      </x:c>
      <x:c r="L362" s="15" t="str">
        <x:f>INDEX(Clientes!$F$2:$F$101,MATCH(C362,Clientes!$A$2:$A$101,0))</x:f>
        <x:v>BA</x:v>
      </x:c>
    </x:row>
    <x:row r="363" ht="20" customHeight="1">
      <x:c r="A363" s="13" t="str">
        <x:v>PED00362</x:v>
      </x:c>
      <x:c r="B363" s="19" t="n">
        <x:v>46183</x:v>
      </x:c>
      <x:c r="C363" s="14" t="str">
        <x:v>CLI0016</x:v>
      </x:c>
      <x:c r="D363" s="14" t="str">
        <x:f>INDEX(Clientes!$B$2:$B$101,MATCH(C363,Clientes!$A$2:$A$101,0))</x:f>
        <x:v>Lucas Costa Junqueira</x:v>
      </x:c>
      <x:c r="E363" s="14" t="str">
        <x:v>PROD009</x:v>
      </x:c>
      <x:c r="F363" s="14" t="str">
        <x:f>INDEX(Produtos!$B$2:$B$11,MATCH(E363,Produtos!$A$2:$A$11,0))</x:f>
        <x:v>Carregador USB-C</x:v>
      </x:c>
      <x:c r="G363" s="18" t="n">
        <x:v>5</x:v>
      </x:c>
      <x:c r="H363" s="17" t="n">
        <x:f>INDEX(Produtos!$D$2:$D$11,MATCH(E363,Produtos!$A$2:$A$11,0))</x:f>
        <x:v>59.9</x:v>
      </x:c>
      <x:c r="I363" s="17" t="n">
        <x:f>G363*H363</x:f>
        <x:v>299.5</x:v>
      </x:c>
      <x:c r="J363" s="14" t="str">
        <x:v>Boleto</x:v>
      </x:c>
      <x:c r="K363" s="14" t="str">
        <x:v>Processando</x:v>
      </x:c>
      <x:c r="L363" s="15" t="str">
        <x:f>INDEX(Clientes!$F$2:$F$101,MATCH(C363,Clientes!$A$2:$A$101,0))</x:f>
        <x:v>MG</x:v>
      </x:c>
    </x:row>
    <x:row r="364" ht="20" customHeight="1">
      <x:c r="A364" s="13" t="str">
        <x:v>PED00363</x:v>
      </x:c>
      <x:c r="B364" s="19" t="n">
        <x:v>46120</x:v>
      </x:c>
      <x:c r="C364" s="14" t="str">
        <x:v>CLI0026</x:v>
      </x:c>
      <x:c r="D364" s="14" t="str">
        <x:f>INDEX(Clientes!$B$2:$B$101,MATCH(C364,Clientes!$A$2:$A$101,0))</x:f>
        <x:v>Henrique Lopes Henrique</x:v>
      </x:c>
      <x:c r="E364" s="14" t="str">
        <x:v>PROD001</x:v>
      </x:c>
      <x:c r="F364" s="14" t="str">
        <x:f>INDEX(Produtos!$B$2:$B$11,MATCH(E364,Produtos!$A$2:$A$11,0))</x:f>
        <x:v>Caderno Universitário</x:v>
      </x:c>
      <x:c r="G364" s="18" t="n">
        <x:v>3</x:v>
      </x:c>
      <x:c r="H364" s="17" t="n">
        <x:f>INDEX(Produtos!$D$2:$D$11,MATCH(E364,Produtos!$A$2:$A$11,0))</x:f>
        <x:v>24.9</x:v>
      </x:c>
      <x:c r="I364" s="17" t="n">
        <x:f>G364*H364</x:f>
        <x:v>74.69999999999999</x:v>
      </x:c>
      <x:c r="J364" s="14" t="str">
        <x:v>Cartão de crédito</x:v>
      </x:c>
      <x:c r="K364" s="14" t="str">
        <x:v>Entregue</x:v>
      </x:c>
      <x:c r="L364" s="15" t="str">
        <x:f>INDEX(Clientes!$F$2:$F$101,MATCH(C364,Clientes!$A$2:$A$101,0))</x:f>
        <x:v>SP</x:v>
      </x:c>
    </x:row>
    <x:row r="365" ht="20" customHeight="1">
      <x:c r="A365" s="13" t="str">
        <x:v>PED00364</x:v>
      </x:c>
      <x:c r="B365" s="19" t="n">
        <x:v>46265</x:v>
      </x:c>
      <x:c r="C365" s="14" t="str">
        <x:v>CLI0052</x:v>
      </x:c>
      <x:c r="D365" s="14" t="str">
        <x:f>INDEX(Clientes!$B$2:$B$101,MATCH(C365,Clientes!$A$2:$A$101,0))</x:f>
        <x:v>Caio Rocha Dias</x:v>
      </x:c>
      <x:c r="E365" s="14" t="str">
        <x:v>PROD007</x:v>
      </x:c>
      <x:c r="F365" s="14" t="str">
        <x:f>INDEX(Produtos!$B$2:$B$11,MATCH(E365,Produtos!$A$2:$A$11,0))</x:f>
        <x:v>Caneca Cerâmica</x:v>
      </x:c>
      <x:c r="G365" s="18" t="n">
        <x:v>1</x:v>
      </x:c>
      <x:c r="H365" s="17" t="n">
        <x:f>INDEX(Produtos!$D$2:$D$11,MATCH(E365,Produtos!$A$2:$A$11,0))</x:f>
        <x:v>32</x:v>
      </x:c>
      <x:c r="I365" s="17" t="n">
        <x:f>G365*H365</x:f>
        <x:v>32</x:v>
      </x:c>
      <x:c r="J365" s="14" t="str">
        <x:v>Boleto</x:v>
      </x:c>
      <x:c r="K365" s="14" t="str">
        <x:v>Processando</x:v>
      </x:c>
      <x:c r="L365" s="15" t="str">
        <x:f>INDEX(Clientes!$F$2:$F$101,MATCH(C365,Clientes!$A$2:$A$101,0))</x:f>
        <x:v>SP</x:v>
      </x:c>
    </x:row>
    <x:row r="366" ht="20" customHeight="1">
      <x:c r="A366" s="13" t="str">
        <x:v>PED00365</x:v>
      </x:c>
      <x:c r="B366" s="19" t="n">
        <x:v>46162</x:v>
      </x:c>
      <x:c r="C366" s="14" t="str">
        <x:v>CLI0046</x:v>
      </x:c>
      <x:c r="D366" s="14" t="str">
        <x:f>INDEX(Clientes!$B$2:$B$101,MATCH(C366,Clientes!$A$2:$A$101,0))</x:f>
        <x:v>Gustavo Ibrahim Queiroz</x:v>
      </x:c>
      <x:c r="E366" s="14" t="str">
        <x:v>PROD007</x:v>
      </x:c>
      <x:c r="F366" s="14" t="str">
        <x:f>INDEX(Produtos!$B$2:$B$11,MATCH(E366,Produtos!$A$2:$A$11,0))</x:f>
        <x:v>Caneca Cerâmica</x:v>
      </x:c>
      <x:c r="G366" s="18" t="n">
        <x:v>7</x:v>
      </x:c>
      <x:c r="H366" s="17" t="n">
        <x:f>INDEX(Produtos!$D$2:$D$11,MATCH(E366,Produtos!$A$2:$A$11,0))</x:f>
        <x:v>32</x:v>
      </x:c>
      <x:c r="I366" s="17" t="n">
        <x:f>G366*H366</x:f>
        <x:v>224</x:v>
      </x:c>
      <x:c r="J366" s="14" t="str">
        <x:v>Cartão de crédito</x:v>
      </x:c>
      <x:c r="K366" s="14" t="str">
        <x:v>Entregue</x:v>
      </x:c>
      <x:c r="L366" s="15" t="str">
        <x:f>INDEX(Clientes!$F$2:$F$101,MATCH(C366,Clientes!$A$2:$A$101,0))</x:f>
        <x:v>SC</x:v>
      </x:c>
    </x:row>
    <x:row r="367" ht="20" customHeight="1">
      <x:c r="A367" s="13" t="str">
        <x:v>PED00366</x:v>
      </x:c>
      <x:c r="B367" s="19" t="n">
        <x:v>46135</x:v>
      </x:c>
      <x:c r="C367" s="14" t="str">
        <x:v>CLI0008</x:v>
      </x:c>
      <x:c r="D367" s="14" t="str">
        <x:f>INDEX(Clientes!$B$2:$B$101,MATCH(C367,Clientes!$A$2:$A$101,0))</x:f>
        <x:v>Enzo Esteves Junqueira</x:v>
      </x:c>
      <x:c r="E367" s="14" t="str">
        <x:v>PROD007</x:v>
      </x:c>
      <x:c r="F367" s="14" t="str">
        <x:f>INDEX(Produtos!$B$2:$B$11,MATCH(E367,Produtos!$A$2:$A$11,0))</x:f>
        <x:v>Caneca Cerâmica</x:v>
      </x:c>
      <x:c r="G367" s="18" t="n">
        <x:v>5</x:v>
      </x:c>
      <x:c r="H367" s="17" t="n">
        <x:f>INDEX(Produtos!$D$2:$D$11,MATCH(E367,Produtos!$A$2:$A$11,0))</x:f>
        <x:v>32</x:v>
      </x:c>
      <x:c r="I367" s="17" t="n">
        <x:f>G367*H367</x:f>
        <x:v>160</x:v>
      </x:c>
      <x:c r="J367" s="14" t="str">
        <x:v>Boleto</x:v>
      </x:c>
      <x:c r="K367" s="14" t="str">
        <x:v>Processando</x:v>
      </x:c>
      <x:c r="L367" s="15" t="str">
        <x:f>INDEX(Clientes!$F$2:$F$101,MATCH(C367,Clientes!$A$2:$A$101,0))</x:f>
        <x:v>PR</x:v>
      </x:c>
    </x:row>
    <x:row r="368" ht="20" customHeight="1">
      <x:c r="A368" s="13" t="str">
        <x:v>PED00367</x:v>
      </x:c>
      <x:c r="B368" s="19" t="n">
        <x:v>46244</x:v>
      </x:c>
      <x:c r="C368" s="14" t="str">
        <x:v>CLI0094</x:v>
      </x:c>
      <x:c r="D368" s="14" t="str">
        <x:f>INDEX(Clientes!$B$2:$B$101,MATCH(C368,Clientes!$A$2:$A$101,0))</x:f>
        <x:v>Daniel Pereira Henrique</x:v>
      </x:c>
      <x:c r="E368" s="14" t="str">
        <x:v>PROD007</x:v>
      </x:c>
      <x:c r="F368" s="14" t="str">
        <x:f>INDEX(Produtos!$B$2:$B$11,MATCH(E368,Produtos!$A$2:$A$11,0))</x:f>
        <x:v>Caneca Cerâmica</x:v>
      </x:c>
      <x:c r="G368" s="18" t="n">
        <x:v>3</x:v>
      </x:c>
      <x:c r="H368" s="17" t="n">
        <x:f>INDEX(Produtos!$D$2:$D$11,MATCH(E368,Produtos!$A$2:$A$11,0))</x:f>
        <x:v>32</x:v>
      </x:c>
      <x:c r="I368" s="17" t="n">
        <x:f>G368*H368</x:f>
        <x:v>96</x:v>
      </x:c>
      <x:c r="J368" s="14" t="str">
        <x:v>Cartão de crédito</x:v>
      </x:c>
      <x:c r="K368" s="14" t="str">
        <x:v>Entregue</x:v>
      </x:c>
      <x:c r="L368" s="15" t="str">
        <x:f>INDEX(Clientes!$F$2:$F$101,MATCH(C368,Clientes!$A$2:$A$101,0))</x:f>
        <x:v>PR</x:v>
      </x:c>
    </x:row>
    <x:row r="369" ht="20" customHeight="1">
      <x:c r="A369" s="13" t="str">
        <x:v>PED00368</x:v>
      </x:c>
      <x:c r="B369" s="19" t="n">
        <x:v>46213</x:v>
      </x:c>
      <x:c r="C369" s="14" t="str">
        <x:v>CLI0048</x:v>
      </x:c>
      <x:c r="D369" s="14" t="str">
        <x:f>INDEX(Clientes!$B$2:$B$101,MATCH(C369,Clientes!$A$2:$A$101,0))</x:f>
        <x:v>Daniel Nascimento Barbosa</x:v>
      </x:c>
      <x:c r="E369" s="14" t="str">
        <x:v>PROD001</x:v>
      </x:c>
      <x:c r="F369" s="14" t="str">
        <x:f>INDEX(Produtos!$B$2:$B$11,MATCH(E369,Produtos!$A$2:$A$11,0))</x:f>
        <x:v>Caderno Universitário</x:v>
      </x:c>
      <x:c r="G369" s="18" t="n">
        <x:v>1</x:v>
      </x:c>
      <x:c r="H369" s="17" t="n">
        <x:f>INDEX(Produtos!$D$2:$D$11,MATCH(E369,Produtos!$A$2:$A$11,0))</x:f>
        <x:v>24.9</x:v>
      </x:c>
      <x:c r="I369" s="17" t="n">
        <x:f>G369*H369</x:f>
        <x:v>24.9</x:v>
      </x:c>
      <x:c r="J369" s="14" t="str">
        <x:v>Boleto</x:v>
      </x:c>
      <x:c r="K369" s="14" t="str">
        <x:v>Processando</x:v>
      </x:c>
      <x:c r="L369" s="15" t="str">
        <x:f>INDEX(Clientes!$F$2:$F$101,MATCH(C369,Clientes!$A$2:$A$101,0))</x:f>
        <x:v>SP</x:v>
      </x:c>
    </x:row>
    <x:row r="370" ht="20" customHeight="1">
      <x:c r="A370" s="13" t="str">
        <x:v>PED00369</x:v>
      </x:c>
      <x:c r="B370" s="19" t="n">
        <x:v>46117</x:v>
      </x:c>
      <x:c r="C370" s="14" t="str">
        <x:v>CLI0026</x:v>
      </x:c>
      <x:c r="D370" s="14" t="str">
        <x:f>INDEX(Clientes!$B$2:$B$101,MATCH(C370,Clientes!$A$2:$A$101,0))</x:f>
        <x:v>Henrique Lopes Henrique</x:v>
      </x:c>
      <x:c r="E370" s="14" t="str">
        <x:v>PROD001</x:v>
      </x:c>
      <x:c r="F370" s="14" t="str">
        <x:f>INDEX(Produtos!$B$2:$B$11,MATCH(E370,Produtos!$A$2:$A$11,0))</x:f>
        <x:v>Caderno Universitário</x:v>
      </x:c>
      <x:c r="G370" s="18" t="n">
        <x:v>7</x:v>
      </x:c>
      <x:c r="H370" s="17" t="n">
        <x:f>INDEX(Produtos!$D$2:$D$11,MATCH(E370,Produtos!$A$2:$A$11,0))</x:f>
        <x:v>24.9</x:v>
      </x:c>
      <x:c r="I370" s="17" t="n">
        <x:f>G370*H370</x:f>
        <x:v>174.29999999999998</x:v>
      </x:c>
      <x:c r="J370" s="14" t="str">
        <x:v>Cartão de crédito</x:v>
      </x:c>
      <x:c r="K370" s="14" t="str">
        <x:v>Entregue</x:v>
      </x:c>
      <x:c r="L370" s="15" t="str">
        <x:f>INDEX(Clientes!$F$2:$F$101,MATCH(C370,Clientes!$A$2:$A$101,0))</x:f>
        <x:v>SP</x:v>
      </x:c>
    </x:row>
    <x:row r="371" ht="20" customHeight="1">
      <x:c r="A371" s="13" t="str">
        <x:v>PED00370</x:v>
      </x:c>
      <x:c r="B371" s="19" t="n">
        <x:v>46045</x:v>
      </x:c>
      <x:c r="C371" s="14" t="str">
        <x:v>CLI0072</x:v>
      </x:c>
      <x:c r="D371" s="14" t="str">
        <x:f>INDEX(Clientes!$B$2:$B$101,MATCH(C371,Clientes!$A$2:$A$101,0))</x:f>
        <x:v>Leonardo Farias Dias</x:v>
      </x:c>
      <x:c r="E371" s="14" t="str">
        <x:v>PROD001</x:v>
      </x:c>
      <x:c r="F371" s="14" t="str">
        <x:f>INDEX(Produtos!$B$2:$B$11,MATCH(E371,Produtos!$A$2:$A$11,0))</x:f>
        <x:v>Caderno Universitário</x:v>
      </x:c>
      <x:c r="G371" s="18" t="n">
        <x:v>5</x:v>
      </x:c>
      <x:c r="H371" s="17" t="n">
        <x:f>INDEX(Produtos!$D$2:$D$11,MATCH(E371,Produtos!$A$2:$A$11,0))</x:f>
        <x:v>24.9</x:v>
      </x:c>
      <x:c r="I371" s="17" t="n">
        <x:f>G371*H371</x:f>
        <x:v>124.5</x:v>
      </x:c>
      <x:c r="J371" s="14" t="str">
        <x:v>Boleto</x:v>
      </x:c>
      <x:c r="K371" s="14" t="str">
        <x:v>Processando</x:v>
      </x:c>
      <x:c r="L371" s="15" t="str">
        <x:f>INDEX(Clientes!$F$2:$F$101,MATCH(C371,Clientes!$A$2:$A$101,0))</x:f>
        <x:v>SP</x:v>
      </x:c>
    </x:row>
    <x:row r="372" ht="20" customHeight="1">
      <x:c r="A372" s="13" t="str">
        <x:v>PED00371</x:v>
      </x:c>
      <x:c r="B372" s="19" t="n">
        <x:v>46095</x:v>
      </x:c>
      <x:c r="C372" s="14" t="str">
        <x:v>CLI0054</x:v>
      </x:c>
      <x:c r="D372" s="14" t="str">
        <x:f>INDEX(Clientes!$B$2:$B$101,MATCH(C372,Clientes!$A$2:$A$101,0))</x:f>
        <x:v>Lucas Farias Ferreira</x:v>
      </x:c>
      <x:c r="E372" s="14" t="str">
        <x:v>PROD005</x:v>
      </x:c>
      <x:c r="F372" s="14" t="str">
        <x:f>INDEX(Produtos!$B$2:$B$11,MATCH(E372,Produtos!$A$2:$A$11,0))</x:f>
        <x:v>Luminária de Mesa LED</x:v>
      </x:c>
      <x:c r="G372" s="18" t="n">
        <x:v>3</x:v>
      </x:c>
      <x:c r="H372" s="17" t="n">
        <x:f>INDEX(Produtos!$D$2:$D$11,MATCH(E372,Produtos!$A$2:$A$11,0))</x:f>
        <x:v>89.5</x:v>
      </x:c>
      <x:c r="I372" s="17" t="n">
        <x:f>G372*H372</x:f>
        <x:v>268.5</x:v>
      </x:c>
      <x:c r="J372" s="14" t="str">
        <x:v>Cartão de crédito</x:v>
      </x:c>
      <x:c r="K372" s="14" t="str">
        <x:v>Entregue</x:v>
      </x:c>
      <x:c r="L372" s="15" t="str">
        <x:f>INDEX(Clientes!$F$2:$F$101,MATCH(C372,Clientes!$A$2:$A$101,0))</x:f>
        <x:v>SC</x:v>
      </x:c>
    </x:row>
    <x:row r="373" ht="20" customHeight="1">
      <x:c r="A373" s="13" t="str">
        <x:v>PED00372</x:v>
      </x:c>
      <x:c r="B373" s="19" t="n">
        <x:v>46150</x:v>
      </x:c>
      <x:c r="C373" s="14" t="str">
        <x:v>CLI0064</x:v>
      </x:c>
      <x:c r="D373" s="14" t="str">
        <x:f>INDEX(Clientes!$B$2:$B$101,MATCH(C373,Clientes!$A$2:$A$101,0))</x:f>
        <x:v>Leonardo Ibrahim Machado</x:v>
      </x:c>
      <x:c r="E373" s="14" t="str">
        <x:v>PROD009</x:v>
      </x:c>
      <x:c r="F373" s="14" t="str">
        <x:f>INDEX(Produtos!$B$2:$B$11,MATCH(E373,Produtos!$A$2:$A$11,0))</x:f>
        <x:v>Carregador USB-C</x:v>
      </x:c>
      <x:c r="G373" s="18" t="n">
        <x:v>1</x:v>
      </x:c>
      <x:c r="H373" s="17" t="n">
        <x:f>INDEX(Produtos!$D$2:$D$11,MATCH(E373,Produtos!$A$2:$A$11,0))</x:f>
        <x:v>59.9</x:v>
      </x:c>
      <x:c r="I373" s="17" t="n">
        <x:f>G373*H373</x:f>
        <x:v>59.9</x:v>
      </x:c>
      <x:c r="J373" s="14" t="str">
        <x:v>Boleto</x:v>
      </x:c>
      <x:c r="K373" s="14" t="str">
        <x:v>Processando</x:v>
      </x:c>
      <x:c r="L373" s="15" t="str">
        <x:f>INDEX(Clientes!$F$2:$F$101,MATCH(C373,Clientes!$A$2:$A$101,0))</x:f>
        <x:v>SP</x:v>
      </x:c>
    </x:row>
    <x:row r="374" ht="20" customHeight="1">
      <x:c r="A374" s="13" t="str">
        <x:v>PED00373</x:v>
      </x:c>
      <x:c r="B374" s="19" t="n">
        <x:v>46088</x:v>
      </x:c>
      <x:c r="C374" s="14" t="str">
        <x:v>CLI0018</x:v>
      </x:c>
      <x:c r="D374" s="14" t="str">
        <x:f>INDEX(Clientes!$B$2:$B$101,MATCH(C374,Clientes!$A$2:$A$101,0))</x:f>
        <x:v>Bruno Cardoso Dias</x:v>
      </x:c>
      <x:c r="E374" s="14" t="str">
        <x:v>PROD001</x:v>
      </x:c>
      <x:c r="F374" s="14" t="str">
        <x:f>INDEX(Produtos!$B$2:$B$11,MATCH(E374,Produtos!$A$2:$A$11,0))</x:f>
        <x:v>Caderno Universitário</x:v>
      </x:c>
      <x:c r="G374" s="18" t="n">
        <x:v>7</x:v>
      </x:c>
      <x:c r="H374" s="17" t="n">
        <x:f>INDEX(Produtos!$D$2:$D$11,MATCH(E374,Produtos!$A$2:$A$11,0))</x:f>
        <x:v>24.9</x:v>
      </x:c>
      <x:c r="I374" s="17" t="n">
        <x:f>G374*H374</x:f>
        <x:v>174.29999999999998</x:v>
      </x:c>
      <x:c r="J374" s="14" t="str">
        <x:v>Cartão de crédito</x:v>
      </x:c>
      <x:c r="K374" s="14" t="str">
        <x:v>Entregue</x:v>
      </x:c>
      <x:c r="L374" s="15" t="str">
        <x:f>INDEX(Clientes!$F$2:$F$101,MATCH(C374,Clientes!$A$2:$A$101,0))</x:f>
        <x:v>BA</x:v>
      </x:c>
    </x:row>
    <x:row r="375" ht="20" customHeight="1">
      <x:c r="A375" s="13" t="str">
        <x:v>PED00374</x:v>
      </x:c>
      <x:c r="B375" s="19" t="n">
        <x:v>46023</x:v>
      </x:c>
      <x:c r="C375" s="14" t="str">
        <x:v>CLI0024</x:v>
      </x:c>
      <x:c r="D375" s="14" t="str">
        <x:f>INDEX(Clientes!$B$2:$B$101,MATCH(C375,Clientes!$A$2:$A$101,0))</x:f>
        <x:v>João Cardoso Duarte</x:v>
      </x:c>
      <x:c r="E375" s="14" t="str">
        <x:v>PROD009</x:v>
      </x:c>
      <x:c r="F375" s="14" t="str">
        <x:f>INDEX(Produtos!$B$2:$B$11,MATCH(E375,Produtos!$A$2:$A$11,0))</x:f>
        <x:v>Carregador USB-C</x:v>
      </x:c>
      <x:c r="G375" s="18" t="n">
        <x:v>5</x:v>
      </x:c>
      <x:c r="H375" s="17" t="n">
        <x:f>INDEX(Produtos!$D$2:$D$11,MATCH(E375,Produtos!$A$2:$A$11,0))</x:f>
        <x:v>59.9</x:v>
      </x:c>
      <x:c r="I375" s="17" t="n">
        <x:f>G375*H375</x:f>
        <x:v>299.5</x:v>
      </x:c>
      <x:c r="J375" s="14" t="str">
        <x:v>Boleto</x:v>
      </x:c>
      <x:c r="K375" s="14" t="str">
        <x:v>Processando</x:v>
      </x:c>
      <x:c r="L375" s="15" t="str">
        <x:f>INDEX(Clientes!$F$2:$F$101,MATCH(C375,Clientes!$A$2:$A$101,0))</x:f>
        <x:v>SP</x:v>
      </x:c>
    </x:row>
    <x:row r="376" ht="20" customHeight="1">
      <x:c r="A376" s="13" t="str">
        <x:v>PED00375</x:v>
      </x:c>
      <x:c r="B376" s="19" t="n">
        <x:v>46225</x:v>
      </x:c>
      <x:c r="C376" s="14" t="str">
        <x:v>CLI0074</x:v>
      </x:c>
      <x:c r="D376" s="14" t="str">
        <x:f>INDEX(Clientes!$B$2:$B$101,MATCH(C376,Clientes!$A$2:$A$101,0))</x:f>
        <x:v>Pedro Costa Mendes</x:v>
      </x:c>
      <x:c r="E376" s="14" t="str">
        <x:v>PROD005</x:v>
      </x:c>
      <x:c r="F376" s="14" t="str">
        <x:f>INDEX(Produtos!$B$2:$B$11,MATCH(E376,Produtos!$A$2:$A$11,0))</x:f>
        <x:v>Luminária de Mesa LED</x:v>
      </x:c>
      <x:c r="G376" s="18" t="n">
        <x:v>3</x:v>
      </x:c>
      <x:c r="H376" s="17" t="n">
        <x:f>INDEX(Produtos!$D$2:$D$11,MATCH(E376,Produtos!$A$2:$A$11,0))</x:f>
        <x:v>89.5</x:v>
      </x:c>
      <x:c r="I376" s="17" t="n">
        <x:f>G376*H376</x:f>
        <x:v>268.5</x:v>
      </x:c>
      <x:c r="J376" s="14" t="str">
        <x:v>Cartão de crédito</x:v>
      </x:c>
      <x:c r="K376" s="14" t="str">
        <x:v>Entregue</x:v>
      </x:c>
      <x:c r="L376" s="15" t="str">
        <x:f>INDEX(Clientes!$F$2:$F$101,MATCH(C376,Clientes!$A$2:$A$101,0))</x:f>
        <x:v>MG</x:v>
      </x:c>
    </x:row>
    <x:row r="377" ht="20" customHeight="1">
      <x:c r="A377" s="13" t="str">
        <x:v>PED00376</x:v>
      </x:c>
      <x:c r="B377" s="19" t="n">
        <x:v>46260</x:v>
      </x:c>
      <x:c r="C377" s="14" t="str">
        <x:v>CLI0032</x:v>
      </x:c>
      <x:c r="D377" s="14" t="str">
        <x:f>INDEX(Clientes!$B$2:$B$101,MATCH(C377,Clientes!$A$2:$A$101,0))</x:f>
        <x:v>Leonardo Lima Oliveira</x:v>
      </x:c>
      <x:c r="E377" s="14" t="str">
        <x:v>PROD001</x:v>
      </x:c>
      <x:c r="F377" s="14" t="str">
        <x:f>INDEX(Produtos!$B$2:$B$11,MATCH(E377,Produtos!$A$2:$A$11,0))</x:f>
        <x:v>Caderno Universitário</x:v>
      </x:c>
      <x:c r="G377" s="18" t="n">
        <x:v>1</x:v>
      </x:c>
      <x:c r="H377" s="17" t="n">
        <x:f>INDEX(Produtos!$D$2:$D$11,MATCH(E377,Produtos!$A$2:$A$11,0))</x:f>
        <x:v>24.9</x:v>
      </x:c>
      <x:c r="I377" s="17" t="n">
        <x:f>G377*H377</x:f>
        <x:v>24.9</x:v>
      </x:c>
      <x:c r="J377" s="14" t="str">
        <x:v>Boleto</x:v>
      </x:c>
      <x:c r="K377" s="14" t="str">
        <x:v>Processando</x:v>
      </x:c>
      <x:c r="L377" s="15" t="str">
        <x:f>INDEX(Clientes!$F$2:$F$101,MATCH(C377,Clientes!$A$2:$A$101,0))</x:f>
        <x:v>PR</x:v>
      </x:c>
    </x:row>
    <x:row r="378" ht="20" customHeight="1">
      <x:c r="A378" s="13" t="str">
        <x:v>PED00377</x:v>
      </x:c>
      <x:c r="B378" s="19" t="n">
        <x:v>46033</x:v>
      </x:c>
      <x:c r="C378" s="14" t="str">
        <x:v>CLI0046</x:v>
      </x:c>
      <x:c r="D378" s="14" t="str">
        <x:f>INDEX(Clientes!$B$2:$B$101,MATCH(C378,Clientes!$A$2:$A$101,0))</x:f>
        <x:v>Gustavo Ibrahim Queiroz</x:v>
      </x:c>
      <x:c r="E378" s="14" t="str">
        <x:v>PROD003</x:v>
      </x:c>
      <x:c r="F378" s="14" t="str">
        <x:f>INDEX(Produtos!$B$2:$B$11,MATCH(E378,Produtos!$A$2:$A$11,0))</x:f>
        <x:v>Fone Bluetooth</x:v>
      </x:c>
      <x:c r="G378" s="18" t="n">
        <x:v>7</x:v>
      </x:c>
      <x:c r="H378" s="17" t="n">
        <x:f>INDEX(Produtos!$D$2:$D$11,MATCH(E378,Produtos!$A$2:$A$11,0))</x:f>
        <x:v>129.9</x:v>
      </x:c>
      <x:c r="I378" s="17" t="n">
        <x:f>G378*H378</x:f>
        <x:v>909.3000000000001</x:v>
      </x:c>
      <x:c r="J378" s="14" t="str">
        <x:v>Cartão de crédito</x:v>
      </x:c>
      <x:c r="K378" s="14" t="str">
        <x:v>Entregue</x:v>
      </x:c>
      <x:c r="L378" s="15" t="str">
        <x:f>INDEX(Clientes!$F$2:$F$101,MATCH(C378,Clientes!$A$2:$A$101,0))</x:f>
        <x:v>SC</x:v>
      </x:c>
    </x:row>
    <x:row r="379" ht="20" customHeight="1">
      <x:c r="A379" s="13" t="str">
        <x:v>PED00378</x:v>
      </x:c>
      <x:c r="B379" s="19" t="n">
        <x:v>46027</x:v>
      </x:c>
      <x:c r="C379" s="14" t="str">
        <x:v>CLI0016</x:v>
      </x:c>
      <x:c r="D379" s="14" t="str">
        <x:f>INDEX(Clientes!$B$2:$B$101,MATCH(C379,Clientes!$A$2:$A$101,0))</x:f>
        <x:v>Lucas Costa Junqueira</x:v>
      </x:c>
      <x:c r="E379" s="14" t="str">
        <x:v>PROD009</x:v>
      </x:c>
      <x:c r="F379" s="14" t="str">
        <x:f>INDEX(Produtos!$B$2:$B$11,MATCH(E379,Produtos!$A$2:$A$11,0))</x:f>
        <x:v>Carregador USB-C</x:v>
      </x:c>
      <x:c r="G379" s="18" t="n">
        <x:v>5</x:v>
      </x:c>
      <x:c r="H379" s="17" t="n">
        <x:f>INDEX(Produtos!$D$2:$D$11,MATCH(E379,Produtos!$A$2:$A$11,0))</x:f>
        <x:v>59.9</x:v>
      </x:c>
      <x:c r="I379" s="17" t="n">
        <x:f>G379*H379</x:f>
        <x:v>299.5</x:v>
      </x:c>
      <x:c r="J379" s="14" t="str">
        <x:v>Boleto</x:v>
      </x:c>
      <x:c r="K379" s="14" t="str">
        <x:v>Processando</x:v>
      </x:c>
      <x:c r="L379" s="15" t="str">
        <x:f>INDEX(Clientes!$F$2:$F$101,MATCH(C379,Clientes!$A$2:$A$101,0))</x:f>
        <x:v>MG</x:v>
      </x:c>
    </x:row>
    <x:row r="380" ht="20" customHeight="1">
      <x:c r="A380" s="13" t="str">
        <x:v>PED00379</x:v>
      </x:c>
      <x:c r="B380" s="19" t="n">
        <x:v>46079</x:v>
      </x:c>
      <x:c r="C380" s="14" t="str">
        <x:v>CLI0030</x:v>
      </x:c>
      <x:c r="D380" s="14" t="str">
        <x:f>INDEX(Clientes!$B$2:$B$101,MATCH(C380,Clientes!$A$2:$A$101,0))</x:f>
        <x:v>Henrique Gomes Batista</x:v>
      </x:c>
      <x:c r="E380" s="14" t="str">
        <x:v>PROD003</x:v>
      </x:c>
      <x:c r="F380" s="14" t="str">
        <x:f>INDEX(Produtos!$B$2:$B$11,MATCH(E380,Produtos!$A$2:$A$11,0))</x:f>
        <x:v>Fone Bluetooth</x:v>
      </x:c>
      <x:c r="G380" s="18" t="n">
        <x:v>3</x:v>
      </x:c>
      <x:c r="H380" s="17" t="n">
        <x:f>INDEX(Produtos!$D$2:$D$11,MATCH(E380,Produtos!$A$2:$A$11,0))</x:f>
        <x:v>129.9</x:v>
      </x:c>
      <x:c r="I380" s="17" t="n">
        <x:f>G380*H380</x:f>
        <x:v>389.70000000000005</x:v>
      </x:c>
      <x:c r="J380" s="14" t="str">
        <x:v>Cartão de crédito</x:v>
      </x:c>
      <x:c r="K380" s="14" t="str">
        <x:v>Entregue</x:v>
      </x:c>
      <x:c r="L380" s="15" t="str">
        <x:f>INDEX(Clientes!$F$2:$F$101,MATCH(C380,Clientes!$A$2:$A$101,0))</x:f>
        <x:v>SP</x:v>
      </x:c>
    </x:row>
    <x:row r="381" ht="20" customHeight="1">
      <x:c r="A381" s="13" t="str">
        <x:v>PED00380</x:v>
      </x:c>
      <x:c r="B381" s="19" t="n">
        <x:v>46151</x:v>
      </x:c>
      <x:c r="C381" s="14" t="str">
        <x:v>CLI0096</x:v>
      </x:c>
      <x:c r="D381" s="14" t="str">
        <x:f>INDEX(Clientes!$B$2:$B$101,MATCH(C381,Clientes!$A$2:$A$101,0))</x:f>
        <x:v>Bruno Farias Henrique</x:v>
      </x:c>
      <x:c r="E381" s="14" t="str">
        <x:v>PROD009</x:v>
      </x:c>
      <x:c r="F381" s="14" t="str">
        <x:f>INDEX(Produtos!$B$2:$B$11,MATCH(E381,Produtos!$A$2:$A$11,0))</x:f>
        <x:v>Carregador USB-C</x:v>
      </x:c>
      <x:c r="G381" s="18" t="n">
        <x:v>1</x:v>
      </x:c>
      <x:c r="H381" s="17" t="n">
        <x:f>INDEX(Produtos!$D$2:$D$11,MATCH(E381,Produtos!$A$2:$A$11,0))</x:f>
        <x:v>59.9</x:v>
      </x:c>
      <x:c r="I381" s="17" t="n">
        <x:f>G381*H381</x:f>
        <x:v>59.9</x:v>
      </x:c>
      <x:c r="J381" s="14" t="str">
        <x:v>Boleto</x:v>
      </x:c>
      <x:c r="K381" s="14" t="str">
        <x:v>Processando</x:v>
      </x:c>
      <x:c r="L381" s="15" t="str">
        <x:f>INDEX(Clientes!$F$2:$F$101,MATCH(C381,Clientes!$A$2:$A$101,0))</x:f>
        <x:v>MG</x:v>
      </x:c>
    </x:row>
    <x:row r="382" ht="20" customHeight="1">
      <x:c r="A382" s="13" t="str">
        <x:v>PED00381</x:v>
      </x:c>
      <x:c r="B382" s="19" t="n">
        <x:v>46217</x:v>
      </x:c>
      <x:c r="C382" s="14" t="str">
        <x:v>CLI0018</x:v>
      </x:c>
      <x:c r="D382" s="14" t="str">
        <x:f>INDEX(Clientes!$B$2:$B$101,MATCH(C382,Clientes!$A$2:$A$101,0))</x:f>
        <x:v>Bruno Cardoso Dias</x:v>
      </x:c>
      <x:c r="E382" s="14" t="str">
        <x:v>PROD009</x:v>
      </x:c>
      <x:c r="F382" s="14" t="str">
        <x:f>INDEX(Produtos!$B$2:$B$11,MATCH(E382,Produtos!$A$2:$A$11,0))</x:f>
        <x:v>Carregador USB-C</x:v>
      </x:c>
      <x:c r="G382" s="18" t="n">
        <x:v>7</x:v>
      </x:c>
      <x:c r="H382" s="17" t="n">
        <x:f>INDEX(Produtos!$D$2:$D$11,MATCH(E382,Produtos!$A$2:$A$11,0))</x:f>
        <x:v>59.9</x:v>
      </x:c>
      <x:c r="I382" s="17" t="n">
        <x:f>G382*H382</x:f>
        <x:v>419.3</x:v>
      </x:c>
      <x:c r="J382" s="14" t="str">
        <x:v>Cartão de crédito</x:v>
      </x:c>
      <x:c r="K382" s="14" t="str">
        <x:v>Entregue</x:v>
      </x:c>
      <x:c r="L382" s="15" t="str">
        <x:f>INDEX(Clientes!$F$2:$F$101,MATCH(C382,Clientes!$A$2:$A$101,0))</x:f>
        <x:v>BA</x:v>
      </x:c>
    </x:row>
    <x:row r="383" ht="20" customHeight="1">
      <x:c r="A383" s="13" t="str">
        <x:v>PED00382</x:v>
      </x:c>
      <x:c r="B383" s="19" t="n">
        <x:v>46026</x:v>
      </x:c>
      <x:c r="C383" s="14" t="str">
        <x:v>CLI0068</x:v>
      </x:c>
      <x:c r="D383" s="14" t="str">
        <x:f>INDEX(Clientes!$B$2:$B$101,MATCH(C383,Clientes!$A$2:$A$101,0))</x:f>
        <x:v>Igor Andrade Machado</x:v>
      </x:c>
      <x:c r="E383" s="14" t="str">
        <x:v>PROD007</x:v>
      </x:c>
      <x:c r="F383" s="14" t="str">
        <x:f>INDEX(Produtos!$B$2:$B$11,MATCH(E383,Produtos!$A$2:$A$11,0))</x:f>
        <x:v>Caneca Cerâmica</x:v>
      </x:c>
      <x:c r="G383" s="18" t="n">
        <x:v>5</x:v>
      </x:c>
      <x:c r="H383" s="17" t="n">
        <x:f>INDEX(Produtos!$D$2:$D$11,MATCH(E383,Produtos!$A$2:$A$11,0))</x:f>
        <x:v>32</x:v>
      </x:c>
      <x:c r="I383" s="17" t="n">
        <x:f>G383*H383</x:f>
        <x:v>160</x:v>
      </x:c>
      <x:c r="J383" s="14" t="str">
        <x:v>Boleto</x:v>
      </x:c>
      <x:c r="K383" s="14" t="str">
        <x:v>Processando</x:v>
      </x:c>
      <x:c r="L383" s="15" t="str">
        <x:f>INDEX(Clientes!$F$2:$F$101,MATCH(C383,Clientes!$A$2:$A$101,0))</x:f>
        <x:v>SP</x:v>
      </x:c>
    </x:row>
    <x:row r="384" ht="20" customHeight="1">
      <x:c r="A384" s="13" t="str">
        <x:v>PED00383</x:v>
      </x:c>
      <x:c r="B384" s="19" t="n">
        <x:v>46198</x:v>
      </x:c>
      <x:c r="C384" s="14" t="str">
        <x:v>CLI0038</x:v>
      </x:c>
      <x:c r="D384" s="14" t="str">
        <x:f>INDEX(Clientes!$B$2:$B$101,MATCH(C384,Clientes!$A$2:$A$101,0))</x:f>
        <x:v>Pedro Ramos Junqueira</x:v>
      </x:c>
      <x:c r="E384" s="14" t="str">
        <x:v>PROD009</x:v>
      </x:c>
      <x:c r="F384" s="14" t="str">
        <x:f>INDEX(Produtos!$B$2:$B$11,MATCH(E384,Produtos!$A$2:$A$11,0))</x:f>
        <x:v>Carregador USB-C</x:v>
      </x:c>
      <x:c r="G384" s="18" t="n">
        <x:v>3</x:v>
      </x:c>
      <x:c r="H384" s="17" t="n">
        <x:f>INDEX(Produtos!$D$2:$D$11,MATCH(E384,Produtos!$A$2:$A$11,0))</x:f>
        <x:v>59.9</x:v>
      </x:c>
      <x:c r="I384" s="17" t="n">
        <x:f>G384*H384</x:f>
        <x:v>179.7</x:v>
      </x:c>
      <x:c r="J384" s="14" t="str">
        <x:v>Cartão de crédito</x:v>
      </x:c>
      <x:c r="K384" s="14" t="str">
        <x:v>Entregue</x:v>
      </x:c>
      <x:c r="L384" s="15" t="str">
        <x:f>INDEX(Clientes!$F$2:$F$101,MATCH(C384,Clientes!$A$2:$A$101,0))</x:f>
        <x:v>SC</x:v>
      </x:c>
    </x:row>
    <x:row r="385" ht="20" customHeight="1">
      <x:c r="A385" s="13" t="str">
        <x:v>PED00384</x:v>
      </x:c>
      <x:c r="B385" s="19" t="n">
        <x:v>46293</x:v>
      </x:c>
      <x:c r="C385" s="14" t="str">
        <x:v>CLI0020</x:v>
      </x:c>
      <x:c r="D385" s="14" t="str">
        <x:f>INDEX(Clientes!$B$2:$B$101,MATCH(C385,Clientes!$A$2:$A$101,0))</x:f>
        <x:v>João Esteves Garcia</x:v>
      </x:c>
      <x:c r="E385" s="14" t="str">
        <x:v>PROD001</x:v>
      </x:c>
      <x:c r="F385" s="14" t="str">
        <x:f>INDEX(Produtos!$B$2:$B$11,MATCH(E385,Produtos!$A$2:$A$11,0))</x:f>
        <x:v>Caderno Universitário</x:v>
      </x:c>
      <x:c r="G385" s="18" t="n">
        <x:v>1</x:v>
      </x:c>
      <x:c r="H385" s="17" t="n">
        <x:f>INDEX(Produtos!$D$2:$D$11,MATCH(E385,Produtos!$A$2:$A$11,0))</x:f>
        <x:v>24.9</x:v>
      </x:c>
      <x:c r="I385" s="17" t="n">
        <x:f>G385*H385</x:f>
        <x:v>24.9</x:v>
      </x:c>
      <x:c r="J385" s="14" t="str">
        <x:v>Boleto</x:v>
      </x:c>
      <x:c r="K385" s="14" t="str">
        <x:v>Processando</x:v>
      </x:c>
      <x:c r="L385" s="15" t="str">
        <x:f>INDEX(Clientes!$F$2:$F$101,MATCH(C385,Clientes!$A$2:$A$101,0))</x:f>
        <x:v>MG</x:v>
      </x:c>
    </x:row>
    <x:row r="386" ht="20" customHeight="1">
      <x:c r="A386" s="13" t="str">
        <x:v>PED00385</x:v>
      </x:c>
      <x:c r="B386" s="19" t="n">
        <x:v>46087</x:v>
      </x:c>
      <x:c r="C386" s="14" t="str">
        <x:v>CLI0098</x:v>
      </x:c>
      <x:c r="D386" s="14" t="str">
        <x:f>INDEX(Clientes!$B$2:$B$101,MATCH(C386,Clientes!$A$2:$A$101,0))</x:f>
        <x:v>Pedro Lopes Vargas</x:v>
      </x:c>
      <x:c r="E386" s="14" t="str">
        <x:v>PROD009</x:v>
      </x:c>
      <x:c r="F386" s="14" t="str">
        <x:f>INDEX(Produtos!$B$2:$B$11,MATCH(E386,Produtos!$A$2:$A$11,0))</x:f>
        <x:v>Carregador USB-C</x:v>
      </x:c>
      <x:c r="G386" s="18" t="n">
        <x:v>7</x:v>
      </x:c>
      <x:c r="H386" s="17" t="n">
        <x:f>INDEX(Produtos!$D$2:$D$11,MATCH(E386,Produtos!$A$2:$A$11,0))</x:f>
        <x:v>59.9</x:v>
      </x:c>
      <x:c r="I386" s="17" t="n">
        <x:f>G386*H386</x:f>
        <x:v>419.3</x:v>
      </x:c>
      <x:c r="J386" s="14" t="str">
        <x:v>Cartão de crédito</x:v>
      </x:c>
      <x:c r="K386" s="14" t="str">
        <x:v>Entregue</x:v>
      </x:c>
      <x:c r="L386" s="15" t="str">
        <x:f>INDEX(Clientes!$F$2:$F$101,MATCH(C386,Clientes!$A$2:$A$101,0))</x:f>
        <x:v>BA</x:v>
      </x:c>
    </x:row>
    <x:row r="387" ht="20" customHeight="1">
      <x:c r="A387" s="13" t="str">
        <x:v>PED00386</x:v>
      </x:c>
      <x:c r="B387" s="19" t="n">
        <x:v>46025</x:v>
      </x:c>
      <x:c r="C387" s="14" t="str">
        <x:v>CLI0056</x:v>
      </x:c>
      <x:c r="D387" s="14" t="str">
        <x:f>INDEX(Clientes!$B$2:$B$101,MATCH(C387,Clientes!$A$2:$A$101,0))</x:f>
        <x:v>Gustavo Andrade Souza</x:v>
      </x:c>
      <x:c r="E387" s="14" t="str">
        <x:v>PROD005</x:v>
      </x:c>
      <x:c r="F387" s="14" t="str">
        <x:f>INDEX(Produtos!$B$2:$B$11,MATCH(E387,Produtos!$A$2:$A$11,0))</x:f>
        <x:v>Luminária de Mesa LED</x:v>
      </x:c>
      <x:c r="G387" s="18" t="n">
        <x:v>5</x:v>
      </x:c>
      <x:c r="H387" s="17" t="n">
        <x:f>INDEX(Produtos!$D$2:$D$11,MATCH(E387,Produtos!$A$2:$A$11,0))</x:f>
        <x:v>89.5</x:v>
      </x:c>
      <x:c r="I387" s="17" t="n">
        <x:f>G387*H387</x:f>
        <x:v>447.5</x:v>
      </x:c>
      <x:c r="J387" s="14" t="str">
        <x:v>Boleto</x:v>
      </x:c>
      <x:c r="K387" s="14" t="str">
        <x:v>Processando</x:v>
      </x:c>
      <x:c r="L387" s="15" t="str">
        <x:f>INDEX(Clientes!$F$2:$F$101,MATCH(C387,Clientes!$A$2:$A$101,0))</x:f>
        <x:v>PR</x:v>
      </x:c>
    </x:row>
    <x:row r="388" ht="20" customHeight="1">
      <x:c r="A388" s="13" t="str">
        <x:v>PED00387</x:v>
      </x:c>
      <x:c r="B388" s="19" t="n">
        <x:v>46231</x:v>
      </x:c>
      <x:c r="C388" s="14" t="str">
        <x:v>CLI0046</x:v>
      </x:c>
      <x:c r="D388" s="14" t="str">
        <x:f>INDEX(Clientes!$B$2:$B$101,MATCH(C388,Clientes!$A$2:$A$101,0))</x:f>
        <x:v>Gustavo Ibrahim Queiroz</x:v>
      </x:c>
      <x:c r="E388" s="14" t="str">
        <x:v>PROD007</x:v>
      </x:c>
      <x:c r="F388" s="14" t="str">
        <x:f>INDEX(Produtos!$B$2:$B$11,MATCH(E388,Produtos!$A$2:$A$11,0))</x:f>
        <x:v>Caneca Cerâmica</x:v>
      </x:c>
      <x:c r="G388" s="18" t="n">
        <x:v>3</x:v>
      </x:c>
      <x:c r="H388" s="17" t="n">
        <x:f>INDEX(Produtos!$D$2:$D$11,MATCH(E388,Produtos!$A$2:$A$11,0))</x:f>
        <x:v>32</x:v>
      </x:c>
      <x:c r="I388" s="17" t="n">
        <x:f>G388*H388</x:f>
        <x:v>96</x:v>
      </x:c>
      <x:c r="J388" s="14" t="str">
        <x:v>Cartão de crédito</x:v>
      </x:c>
      <x:c r="K388" s="14" t="str">
        <x:v>Entregue</x:v>
      </x:c>
      <x:c r="L388" s="15" t="str">
        <x:f>INDEX(Clientes!$F$2:$F$101,MATCH(C388,Clientes!$A$2:$A$101,0))</x:f>
        <x:v>SC</x:v>
      </x:c>
    </x:row>
    <x:row r="389" ht="20" customHeight="1">
      <x:c r="A389" s="13" t="str">
        <x:v>PED00388</x:v>
      </x:c>
      <x:c r="B389" s="19" t="n">
        <x:v>46093</x:v>
      </x:c>
      <x:c r="C389" s="14" t="str">
        <x:v>CLI0056</x:v>
      </x:c>
      <x:c r="D389" s="14" t="str">
        <x:f>INDEX(Clientes!$B$2:$B$101,MATCH(C389,Clientes!$A$2:$A$101,0))</x:f>
        <x:v>Gustavo Andrade Souza</x:v>
      </x:c>
      <x:c r="E389" s="14" t="str">
        <x:v>PROD005</x:v>
      </x:c>
      <x:c r="F389" s="14" t="str">
        <x:f>INDEX(Produtos!$B$2:$B$11,MATCH(E389,Produtos!$A$2:$A$11,0))</x:f>
        <x:v>Luminária de Mesa LED</x:v>
      </x:c>
      <x:c r="G389" s="18" t="n">
        <x:v>1</x:v>
      </x:c>
      <x:c r="H389" s="17" t="n">
        <x:f>INDEX(Produtos!$D$2:$D$11,MATCH(E389,Produtos!$A$2:$A$11,0))</x:f>
        <x:v>89.5</x:v>
      </x:c>
      <x:c r="I389" s="17" t="n">
        <x:f>G389*H389</x:f>
        <x:v>89.5</x:v>
      </x:c>
      <x:c r="J389" s="14" t="str">
        <x:v>Boleto</x:v>
      </x:c>
      <x:c r="K389" s="14" t="str">
        <x:v>Processando</x:v>
      </x:c>
      <x:c r="L389" s="15" t="str">
        <x:f>INDEX(Clientes!$F$2:$F$101,MATCH(C389,Clientes!$A$2:$A$101,0))</x:f>
        <x:v>PR</x:v>
      </x:c>
    </x:row>
    <x:row r="390" ht="20" customHeight="1">
      <x:c r="A390" s="13" t="str">
        <x:v>PED00389</x:v>
      </x:c>
      <x:c r="B390" s="19" t="n">
        <x:v>46174</x:v>
      </x:c>
      <x:c r="C390" s="14" t="str">
        <x:v>CLI0058</x:v>
      </x:c>
      <x:c r="D390" s="14" t="str">
        <x:f>INDEX(Clientes!$B$2:$B$101,MATCH(C390,Clientes!$A$2:$A$101,0))</x:f>
        <x:v>Igor Pereira Duarte</x:v>
      </x:c>
      <x:c r="E390" s="14" t="str">
        <x:v>PROD001</x:v>
      </x:c>
      <x:c r="F390" s="14" t="str">
        <x:f>INDEX(Produtos!$B$2:$B$11,MATCH(E390,Produtos!$A$2:$A$11,0))</x:f>
        <x:v>Caderno Universitário</x:v>
      </x:c>
      <x:c r="G390" s="18" t="n">
        <x:v>7</x:v>
      </x:c>
      <x:c r="H390" s="17" t="n">
        <x:f>INDEX(Produtos!$D$2:$D$11,MATCH(E390,Produtos!$A$2:$A$11,0))</x:f>
        <x:v>24.9</x:v>
      </x:c>
      <x:c r="I390" s="17" t="n">
        <x:f>G390*H390</x:f>
        <x:v>174.29999999999998</x:v>
      </x:c>
      <x:c r="J390" s="14" t="str">
        <x:v>Cartão de crédito</x:v>
      </x:c>
      <x:c r="K390" s="14" t="str">
        <x:v>Entregue</x:v>
      </x:c>
      <x:c r="L390" s="15" t="str">
        <x:f>INDEX(Clientes!$F$2:$F$101,MATCH(C390,Clientes!$A$2:$A$101,0))</x:f>
        <x:v>MG</x:v>
      </x:c>
    </x:row>
    <x:row r="391" ht="20" customHeight="1">
      <x:c r="A391" s="13" t="str">
        <x:v>PED00390</x:v>
      </x:c>
      <x:c r="B391" s="19" t="n">
        <x:v>46038</x:v>
      </x:c>
      <x:c r="C391" s="14" t="str">
        <x:v>CLI0052</x:v>
      </x:c>
      <x:c r="D391" s="14" t="str">
        <x:f>INDEX(Clientes!$B$2:$B$101,MATCH(C391,Clientes!$A$2:$A$101,0))</x:f>
        <x:v>Caio Rocha Dias</x:v>
      </x:c>
      <x:c r="E391" s="14" t="str">
        <x:v>PROD007</x:v>
      </x:c>
      <x:c r="F391" s="14" t="str">
        <x:f>INDEX(Produtos!$B$2:$B$11,MATCH(E391,Produtos!$A$2:$A$11,0))</x:f>
        <x:v>Caneca Cerâmica</x:v>
      </x:c>
      <x:c r="G391" s="18" t="n">
        <x:v>5</x:v>
      </x:c>
      <x:c r="H391" s="17" t="n">
        <x:f>INDEX(Produtos!$D$2:$D$11,MATCH(E391,Produtos!$A$2:$A$11,0))</x:f>
        <x:v>32</x:v>
      </x:c>
      <x:c r="I391" s="17" t="n">
        <x:f>G391*H391</x:f>
        <x:v>160</x:v>
      </x:c>
      <x:c r="J391" s="14" t="str">
        <x:v>Boleto</x:v>
      </x:c>
      <x:c r="K391" s="14" t="str">
        <x:v>Processando</x:v>
      </x:c>
      <x:c r="L391" s="15" t="str">
        <x:f>INDEX(Clientes!$F$2:$F$101,MATCH(C391,Clientes!$A$2:$A$101,0))</x:f>
        <x:v>SP</x:v>
      </x:c>
    </x:row>
    <x:row r="392" ht="20" customHeight="1">
      <x:c r="A392" s="13" t="str">
        <x:v>PED00391</x:v>
      </x:c>
      <x:c r="B392" s="19" t="n">
        <x:v>46061</x:v>
      </x:c>
      <x:c r="C392" s="14" t="str">
        <x:v>CLI0054</x:v>
      </x:c>
      <x:c r="D392" s="14" t="str">
        <x:f>INDEX(Clientes!$B$2:$B$101,MATCH(C392,Clientes!$A$2:$A$101,0))</x:f>
        <x:v>Lucas Farias Ferreira</x:v>
      </x:c>
      <x:c r="E392" s="14" t="str">
        <x:v>PROD005</x:v>
      </x:c>
      <x:c r="F392" s="14" t="str">
        <x:f>INDEX(Produtos!$B$2:$B$11,MATCH(E392,Produtos!$A$2:$A$11,0))</x:f>
        <x:v>Luminária de Mesa LED</x:v>
      </x:c>
      <x:c r="G392" s="18" t="n">
        <x:v>3</x:v>
      </x:c>
      <x:c r="H392" s="17" t="n">
        <x:f>INDEX(Produtos!$D$2:$D$11,MATCH(E392,Produtos!$A$2:$A$11,0))</x:f>
        <x:v>89.5</x:v>
      </x:c>
      <x:c r="I392" s="17" t="n">
        <x:f>G392*H392</x:f>
        <x:v>268.5</x:v>
      </x:c>
      <x:c r="J392" s="14" t="str">
        <x:v>Cartão de crédito</x:v>
      </x:c>
      <x:c r="K392" s="14" t="str">
        <x:v>Entregue</x:v>
      </x:c>
      <x:c r="L392" s="15" t="str">
        <x:f>INDEX(Clientes!$F$2:$F$101,MATCH(C392,Clientes!$A$2:$A$101,0))</x:f>
        <x:v>SC</x:v>
      </x:c>
    </x:row>
    <x:row r="393" ht="20" customHeight="1">
      <x:c r="A393" s="13" t="str">
        <x:v>PED00392</x:v>
      </x:c>
      <x:c r="B393" s="19" t="n">
        <x:v>46252</x:v>
      </x:c>
      <x:c r="C393" s="14" t="str">
        <x:v>CLI0072</x:v>
      </x:c>
      <x:c r="D393" s="14" t="str">
        <x:f>INDEX(Clientes!$B$2:$B$101,MATCH(C393,Clientes!$A$2:$A$101,0))</x:f>
        <x:v>Leonardo Farias Dias</x:v>
      </x:c>
      <x:c r="E393" s="14" t="str">
        <x:v>PROD003</x:v>
      </x:c>
      <x:c r="F393" s="14" t="str">
        <x:f>INDEX(Produtos!$B$2:$B$11,MATCH(E393,Produtos!$A$2:$A$11,0))</x:f>
        <x:v>Fone Bluetooth</x:v>
      </x:c>
      <x:c r="G393" s="18" t="n">
        <x:v>1</x:v>
      </x:c>
      <x:c r="H393" s="17" t="n">
        <x:f>INDEX(Produtos!$D$2:$D$11,MATCH(E393,Produtos!$A$2:$A$11,0))</x:f>
        <x:v>129.9</x:v>
      </x:c>
      <x:c r="I393" s="17" t="n">
        <x:f>G393*H393</x:f>
        <x:v>129.9</x:v>
      </x:c>
      <x:c r="J393" s="14" t="str">
        <x:v>Boleto</x:v>
      </x:c>
      <x:c r="K393" s="14" t="str">
        <x:v>Processando</x:v>
      </x:c>
      <x:c r="L393" s="15" t="str">
        <x:f>INDEX(Clientes!$F$2:$F$101,MATCH(C393,Clientes!$A$2:$A$101,0))</x:f>
        <x:v>SP</x:v>
      </x:c>
    </x:row>
    <x:row r="394" ht="20" customHeight="1">
      <x:c r="A394" s="13" t="str">
        <x:v>PED00393</x:v>
      </x:c>
      <x:c r="B394" s="19" t="n">
        <x:v>46147</x:v>
      </x:c>
      <x:c r="C394" s="14" t="str">
        <x:v>CLI0042</x:v>
      </x:c>
      <x:c r="D394" s="14" t="str">
        <x:f>INDEX(Clientes!$B$2:$B$101,MATCH(C394,Clientes!$A$2:$A$101,0))</x:f>
        <x:v>João Rocha Batista</x:v>
      </x:c>
      <x:c r="E394" s="14" t="str">
        <x:v>PROD007</x:v>
      </x:c>
      <x:c r="F394" s="14" t="str">
        <x:f>INDEX(Produtos!$B$2:$B$11,MATCH(E394,Produtos!$A$2:$A$11,0))</x:f>
        <x:v>Caneca Cerâmica</x:v>
      </x:c>
      <x:c r="G394" s="18" t="n">
        <x:v>7</x:v>
      </x:c>
      <x:c r="H394" s="17" t="n">
        <x:f>INDEX(Produtos!$D$2:$D$11,MATCH(E394,Produtos!$A$2:$A$11,0))</x:f>
        <x:v>32</x:v>
      </x:c>
      <x:c r="I394" s="17" t="n">
        <x:f>G394*H394</x:f>
        <x:v>224</x:v>
      </x:c>
      <x:c r="J394" s="14" t="str">
        <x:v>Cartão de crédito</x:v>
      </x:c>
      <x:c r="K394" s="14" t="str">
        <x:v>Entregue</x:v>
      </x:c>
      <x:c r="L394" s="15" t="str">
        <x:f>INDEX(Clientes!$F$2:$F$101,MATCH(C394,Clientes!$A$2:$A$101,0))</x:f>
        <x:v>PR</x:v>
      </x:c>
    </x:row>
    <x:row r="395" ht="20" customHeight="1">
      <x:c r="A395" s="13" t="str">
        <x:v>PED00394</x:v>
      </x:c>
      <x:c r="B395" s="19" t="n">
        <x:v>46265</x:v>
      </x:c>
      <x:c r="C395" s="14" t="str">
        <x:v>CLI0020</x:v>
      </x:c>
      <x:c r="D395" s="14" t="str">
        <x:f>INDEX(Clientes!$B$2:$B$101,MATCH(C395,Clientes!$A$2:$A$101,0))</x:f>
        <x:v>João Esteves Garcia</x:v>
      </x:c>
      <x:c r="E395" s="14" t="str">
        <x:v>PROD003</x:v>
      </x:c>
      <x:c r="F395" s="14" t="str">
        <x:f>INDEX(Produtos!$B$2:$B$11,MATCH(E395,Produtos!$A$2:$A$11,0))</x:f>
        <x:v>Fone Bluetooth</x:v>
      </x:c>
      <x:c r="G395" s="18" t="n">
        <x:v>5</x:v>
      </x:c>
      <x:c r="H395" s="17" t="n">
        <x:f>INDEX(Produtos!$D$2:$D$11,MATCH(E395,Produtos!$A$2:$A$11,0))</x:f>
        <x:v>129.9</x:v>
      </x:c>
      <x:c r="I395" s="17" t="n">
        <x:f>G395*H395</x:f>
        <x:v>649.5</x:v>
      </x:c>
      <x:c r="J395" s="14" t="str">
        <x:v>Boleto</x:v>
      </x:c>
      <x:c r="K395" s="14" t="str">
        <x:v>Processando</x:v>
      </x:c>
      <x:c r="L395" s="15" t="str">
        <x:f>INDEX(Clientes!$F$2:$F$101,MATCH(C395,Clientes!$A$2:$A$101,0))</x:f>
        <x:v>MG</x:v>
      </x:c>
    </x:row>
    <x:row r="396" ht="20" customHeight="1">
      <x:c r="A396" s="13" t="str">
        <x:v>PED00395</x:v>
      </x:c>
      <x:c r="B396" s="19" t="n">
        <x:v>46187</x:v>
      </x:c>
      <x:c r="C396" s="14" t="str">
        <x:v>CLI0018</x:v>
      </x:c>
      <x:c r="D396" s="14" t="str">
        <x:f>INDEX(Clientes!$B$2:$B$101,MATCH(C396,Clientes!$A$2:$A$101,0))</x:f>
        <x:v>Bruno Cardoso Dias</x:v>
      </x:c>
      <x:c r="E396" s="14" t="str">
        <x:v>PROD009</x:v>
      </x:c>
      <x:c r="F396" s="14" t="str">
        <x:f>INDEX(Produtos!$B$2:$B$11,MATCH(E396,Produtos!$A$2:$A$11,0))</x:f>
        <x:v>Carregador USB-C</x:v>
      </x:c>
      <x:c r="G396" s="18" t="n">
        <x:v>3</x:v>
      </x:c>
      <x:c r="H396" s="17" t="n">
        <x:f>INDEX(Produtos!$D$2:$D$11,MATCH(E396,Produtos!$A$2:$A$11,0))</x:f>
        <x:v>59.9</x:v>
      </x:c>
      <x:c r="I396" s="17" t="n">
        <x:f>G396*H396</x:f>
        <x:v>179.7</x:v>
      </x:c>
      <x:c r="J396" s="14" t="str">
        <x:v>Cartão de crédito</x:v>
      </x:c>
      <x:c r="K396" s="14" t="str">
        <x:v>Entregue</x:v>
      </x:c>
      <x:c r="L396" s="15" t="str">
        <x:f>INDEX(Clientes!$F$2:$F$101,MATCH(C396,Clientes!$A$2:$A$101,0))</x:f>
        <x:v>BA</x:v>
      </x:c>
    </x:row>
    <x:row r="397" ht="20" customHeight="1">
      <x:c r="A397" s="13" t="str">
        <x:v>PED00396</x:v>
      </x:c>
      <x:c r="B397" s="19" t="n">
        <x:v>46190</x:v>
      </x:c>
      <x:c r="C397" s="14" t="str">
        <x:v>CLI0004</x:v>
      </x:c>
      <x:c r="D397" s="14" t="str">
        <x:f>INDEX(Clientes!$B$2:$B$101,MATCH(C397,Clientes!$A$2:$A$101,0))</x:f>
        <x:v>Enzo Ibrahim Queiroz</x:v>
      </x:c>
      <x:c r="E397" s="14" t="str">
        <x:v>PROD005</x:v>
      </x:c>
      <x:c r="F397" s="14" t="str">
        <x:f>INDEX(Produtos!$B$2:$B$11,MATCH(E397,Produtos!$A$2:$A$11,0))</x:f>
        <x:v>Luminária de Mesa LED</x:v>
      </x:c>
      <x:c r="G397" s="18" t="n">
        <x:v>1</x:v>
      </x:c>
      <x:c r="H397" s="17" t="n">
        <x:f>INDEX(Produtos!$D$2:$D$11,MATCH(E397,Produtos!$A$2:$A$11,0))</x:f>
        <x:v>89.5</x:v>
      </x:c>
      <x:c r="I397" s="17" t="n">
        <x:f>G397*H397</x:f>
        <x:v>89.5</x:v>
      </x:c>
      <x:c r="J397" s="14" t="str">
        <x:v>Boleto</x:v>
      </x:c>
      <x:c r="K397" s="14" t="str">
        <x:v>Processando</x:v>
      </x:c>
      <x:c r="L397" s="15" t="str">
        <x:f>INDEX(Clientes!$F$2:$F$101,MATCH(C397,Clientes!$A$2:$A$101,0))</x:f>
        <x:v>SP</x:v>
      </x:c>
    </x:row>
    <x:row r="398" ht="20" customHeight="1">
      <x:c r="A398" s="13" t="str">
        <x:v>PED00397</x:v>
      </x:c>
      <x:c r="B398" s="19" t="n">
        <x:v>46133</x:v>
      </x:c>
      <x:c r="C398" s="14" t="str">
        <x:v>CLI0046</x:v>
      </x:c>
      <x:c r="D398" s="14" t="str">
        <x:f>INDEX(Clientes!$B$2:$B$101,MATCH(C398,Clientes!$A$2:$A$101,0))</x:f>
        <x:v>Gustavo Ibrahim Queiroz</x:v>
      </x:c>
      <x:c r="E398" s="14" t="str">
        <x:v>PROD009</x:v>
      </x:c>
      <x:c r="F398" s="14" t="str">
        <x:f>INDEX(Produtos!$B$2:$B$11,MATCH(E398,Produtos!$A$2:$A$11,0))</x:f>
        <x:v>Carregador USB-C</x:v>
      </x:c>
      <x:c r="G398" s="18" t="n">
        <x:v>7</x:v>
      </x:c>
      <x:c r="H398" s="17" t="n">
        <x:f>INDEX(Produtos!$D$2:$D$11,MATCH(E398,Produtos!$A$2:$A$11,0))</x:f>
        <x:v>59.9</x:v>
      </x:c>
      <x:c r="I398" s="17" t="n">
        <x:f>G398*H398</x:f>
        <x:v>419.3</x:v>
      </x:c>
      <x:c r="J398" s="14" t="str">
        <x:v>Cartão de crédito</x:v>
      </x:c>
      <x:c r="K398" s="14" t="str">
        <x:v>Entregue</x:v>
      </x:c>
      <x:c r="L398" s="15" t="str">
        <x:f>INDEX(Clientes!$F$2:$F$101,MATCH(C398,Clientes!$A$2:$A$101,0))</x:f>
        <x:v>SC</x:v>
      </x:c>
    </x:row>
    <x:row r="399" ht="20" customHeight="1">
      <x:c r="A399" s="13" t="str">
        <x:v>PED00398</x:v>
      </x:c>
      <x:c r="B399" s="19" t="n">
        <x:v>46175</x:v>
      </x:c>
      <x:c r="C399" s="14" t="str">
        <x:v>CLI0080</x:v>
      </x:c>
      <x:c r="D399" s="14" t="str">
        <x:f>INDEX(Clientes!$B$2:$B$101,MATCH(C399,Clientes!$A$2:$A$101,0))</x:f>
        <x:v>Caio Nascimento Vargas</x:v>
      </x:c>
      <x:c r="E399" s="14" t="str">
        <x:v>PROD009</x:v>
      </x:c>
      <x:c r="F399" s="14" t="str">
        <x:f>INDEX(Produtos!$B$2:$B$11,MATCH(E399,Produtos!$A$2:$A$11,0))</x:f>
        <x:v>Carregador USB-C</x:v>
      </x:c>
      <x:c r="G399" s="18" t="n">
        <x:v>5</x:v>
      </x:c>
      <x:c r="H399" s="17" t="n">
        <x:f>INDEX(Produtos!$D$2:$D$11,MATCH(E399,Produtos!$A$2:$A$11,0))</x:f>
        <x:v>59.9</x:v>
      </x:c>
      <x:c r="I399" s="17" t="n">
        <x:f>G399*H399</x:f>
        <x:v>299.5</x:v>
      </x:c>
      <x:c r="J399" s="14" t="str">
        <x:v>Boleto</x:v>
      </x:c>
      <x:c r="K399" s="14" t="str">
        <x:v>Processando</x:v>
      </x:c>
      <x:c r="L399" s="15" t="str">
        <x:f>INDEX(Clientes!$F$2:$F$101,MATCH(C399,Clientes!$A$2:$A$101,0))</x:f>
        <x:v>SC</x:v>
      </x:c>
    </x:row>
    <x:row r="400" ht="20" customHeight="1">
      <x:c r="A400" s="13" t="str">
        <x:v>PED00399</x:v>
      </x:c>
      <x:c r="B400" s="19" t="n">
        <x:v>46288</x:v>
      </x:c>
      <x:c r="C400" s="14" t="str">
        <x:v>CLI0094</x:v>
      </x:c>
      <x:c r="D400" s="14" t="str">
        <x:f>INDEX(Clientes!$B$2:$B$101,MATCH(C400,Clientes!$A$2:$A$101,0))</x:f>
        <x:v>Daniel Pereira Henrique</x:v>
      </x:c>
      <x:c r="E400" s="14" t="str">
        <x:v>PROD001</x:v>
      </x:c>
      <x:c r="F400" s="14" t="str">
        <x:f>INDEX(Produtos!$B$2:$B$11,MATCH(E400,Produtos!$A$2:$A$11,0))</x:f>
        <x:v>Caderno Universitário</x:v>
      </x:c>
      <x:c r="G400" s="18" t="n">
        <x:v>3</x:v>
      </x:c>
      <x:c r="H400" s="17" t="n">
        <x:f>INDEX(Produtos!$D$2:$D$11,MATCH(E400,Produtos!$A$2:$A$11,0))</x:f>
        <x:v>24.9</x:v>
      </x:c>
      <x:c r="I400" s="17" t="n">
        <x:f>G400*H400</x:f>
        <x:v>74.69999999999999</x:v>
      </x:c>
      <x:c r="J400" s="14" t="str">
        <x:v>Cartão de crédito</x:v>
      </x:c>
      <x:c r="K400" s="14" t="str">
        <x:v>Entregue</x:v>
      </x:c>
      <x:c r="L400" s="15" t="str">
        <x:f>INDEX(Clientes!$F$2:$F$101,MATCH(C400,Clientes!$A$2:$A$101,0))</x:f>
        <x:v>PR</x:v>
      </x:c>
    </x:row>
    <x:row r="401" ht="20" customHeight="1">
      <x:c r="A401" s="13" t="str">
        <x:v>PED00400</x:v>
      </x:c>
      <x:c r="B401" s="19" t="n">
        <x:v>46281</x:v>
      </x:c>
      <x:c r="C401" s="14" t="str">
        <x:v>CLI0024</x:v>
      </x:c>
      <x:c r="D401" s="14" t="str">
        <x:f>INDEX(Clientes!$B$2:$B$101,MATCH(C401,Clientes!$A$2:$A$101,0))</x:f>
        <x:v>João Cardoso Duarte</x:v>
      </x:c>
      <x:c r="E401" s="14" t="str">
        <x:v>PROD003</x:v>
      </x:c>
      <x:c r="F401" s="14" t="str">
        <x:f>INDEX(Produtos!$B$2:$B$11,MATCH(E401,Produtos!$A$2:$A$11,0))</x:f>
        <x:v>Fone Bluetooth</x:v>
      </x:c>
      <x:c r="G401" s="18" t="n">
        <x:v>1</x:v>
      </x:c>
      <x:c r="H401" s="17" t="n">
        <x:f>INDEX(Produtos!$D$2:$D$11,MATCH(E401,Produtos!$A$2:$A$11,0))</x:f>
        <x:v>129.9</x:v>
      </x:c>
      <x:c r="I401" s="17" t="n">
        <x:f>G401*H401</x:f>
        <x:v>129.9</x:v>
      </x:c>
      <x:c r="J401" s="14" t="str">
        <x:v>Boleto</x:v>
      </x:c>
      <x:c r="K401" s="14" t="str">
        <x:v>Processando</x:v>
      </x:c>
      <x:c r="L401" s="15" t="str">
        <x:f>INDEX(Clientes!$F$2:$F$101,MATCH(C401,Clientes!$A$2:$A$101,0))</x:f>
        <x:v>SP</x:v>
      </x:c>
    </x:row>
    <x:row r="402" ht="20" customHeight="1">
      <x:c r="A402" s="13" t="str">
        <x:v>PED00401</x:v>
      </x:c>
      <x:c r="B402" s="19" t="n">
        <x:v>46236</x:v>
      </x:c>
      <x:c r="C402" s="14" t="str">
        <x:v>CLI0090</x:v>
      </x:c>
      <x:c r="D402" s="14" t="str">
        <x:f>INDEX(Clientes!$B$2:$B$101,MATCH(C402,Clientes!$A$2:$A$101,0))</x:f>
        <x:v>Bruno Pereira Silva</x:v>
      </x:c>
      <x:c r="E402" s="14" t="str">
        <x:v>PROD009</x:v>
      </x:c>
      <x:c r="F402" s="14" t="str">
        <x:f>INDEX(Produtos!$B$2:$B$11,MATCH(E402,Produtos!$A$2:$A$11,0))</x:f>
        <x:v>Carregador USB-C</x:v>
      </x:c>
      <x:c r="G402" s="18" t="n">
        <x:v>7</x:v>
      </x:c>
      <x:c r="H402" s="17" t="n">
        <x:f>INDEX(Produtos!$D$2:$D$11,MATCH(E402,Produtos!$A$2:$A$11,0))</x:f>
        <x:v>59.9</x:v>
      </x:c>
      <x:c r="I402" s="17" t="n">
        <x:f>G402*H402</x:f>
        <x:v>419.3</x:v>
      </x:c>
      <x:c r="J402" s="14" t="str">
        <x:v>Cartão de crédito</x:v>
      </x:c>
      <x:c r="K402" s="14" t="str">
        <x:v>Entregue</x:v>
      </x:c>
      <x:c r="L402" s="15" t="str">
        <x:f>INDEX(Clientes!$F$2:$F$101,MATCH(C402,Clientes!$A$2:$A$101,0))</x:f>
        <x:v>BA</x:v>
      </x:c>
    </x:row>
    <x:row r="403" ht="20" customHeight="1">
      <x:c r="A403" s="13" t="str">
        <x:v>PED00402</x:v>
      </x:c>
      <x:c r="B403" s="19" t="n">
        <x:v>46029</x:v>
      </x:c>
      <x:c r="C403" s="14" t="str">
        <x:v>CLI0016</x:v>
      </x:c>
      <x:c r="D403" s="14" t="str">
        <x:f>INDEX(Clientes!$B$2:$B$101,MATCH(C403,Clientes!$A$2:$A$101,0))</x:f>
        <x:v>Lucas Costa Junqueira</x:v>
      </x:c>
      <x:c r="E403" s="14" t="str">
        <x:v>PROD007</x:v>
      </x:c>
      <x:c r="F403" s="14" t="str">
        <x:f>INDEX(Produtos!$B$2:$B$11,MATCH(E403,Produtos!$A$2:$A$11,0))</x:f>
        <x:v>Caneca Cerâmica</x:v>
      </x:c>
      <x:c r="G403" s="18" t="n">
        <x:v>5</x:v>
      </x:c>
      <x:c r="H403" s="17" t="n">
        <x:f>INDEX(Produtos!$D$2:$D$11,MATCH(E403,Produtos!$A$2:$A$11,0))</x:f>
        <x:v>32</x:v>
      </x:c>
      <x:c r="I403" s="17" t="n">
        <x:f>G403*H403</x:f>
        <x:v>160</x:v>
      </x:c>
      <x:c r="J403" s="14" t="str">
        <x:v>Boleto</x:v>
      </x:c>
      <x:c r="K403" s="14" t="str">
        <x:v>Processando</x:v>
      </x:c>
      <x:c r="L403" s="15" t="str">
        <x:f>INDEX(Clientes!$F$2:$F$101,MATCH(C403,Clientes!$A$2:$A$101,0))</x:f>
        <x:v>MG</x:v>
      </x:c>
    </x:row>
    <x:row r="404" ht="20" customHeight="1">
      <x:c r="A404" s="13" t="str">
        <x:v>PED00403</x:v>
      </x:c>
      <x:c r="B404" s="19" t="n">
        <x:v>46115</x:v>
      </x:c>
      <x:c r="C404" s="14" t="str">
        <x:v>CLI0058</x:v>
      </x:c>
      <x:c r="D404" s="14" t="str">
        <x:f>INDEX(Clientes!$B$2:$B$101,MATCH(C404,Clientes!$A$2:$A$101,0))</x:f>
        <x:v>Igor Pereira Duarte</x:v>
      </x:c>
      <x:c r="E404" s="14" t="str">
        <x:v>PROD005</x:v>
      </x:c>
      <x:c r="F404" s="14" t="str">
        <x:f>INDEX(Produtos!$B$2:$B$11,MATCH(E404,Produtos!$A$2:$A$11,0))</x:f>
        <x:v>Luminária de Mesa LED</x:v>
      </x:c>
      <x:c r="G404" s="18" t="n">
        <x:v>3</x:v>
      </x:c>
      <x:c r="H404" s="17" t="n">
        <x:f>INDEX(Produtos!$D$2:$D$11,MATCH(E404,Produtos!$A$2:$A$11,0))</x:f>
        <x:v>89.5</x:v>
      </x:c>
      <x:c r="I404" s="17" t="n">
        <x:f>G404*H404</x:f>
        <x:v>268.5</x:v>
      </x:c>
      <x:c r="J404" s="14" t="str">
        <x:v>Cartão de crédito</x:v>
      </x:c>
      <x:c r="K404" s="14" t="str">
        <x:v>Entregue</x:v>
      </x:c>
      <x:c r="L404" s="15" t="str">
        <x:f>INDEX(Clientes!$F$2:$F$101,MATCH(C404,Clientes!$A$2:$A$101,0))</x:f>
        <x:v>MG</x:v>
      </x:c>
    </x:row>
    <x:row r="405" ht="20" customHeight="1">
      <x:c r="A405" s="13" t="str">
        <x:v>PED00404</x:v>
      </x:c>
      <x:c r="B405" s="19" t="n">
        <x:v>46095</x:v>
      </x:c>
      <x:c r="C405" s="14" t="str">
        <x:v>CLI0004</x:v>
      </x:c>
      <x:c r="D405" s="14" t="str">
        <x:f>INDEX(Clientes!$B$2:$B$101,MATCH(C405,Clientes!$A$2:$A$101,0))</x:f>
        <x:v>Enzo Ibrahim Queiroz</x:v>
      </x:c>
      <x:c r="E405" s="14" t="str">
        <x:v>PROD001</x:v>
      </x:c>
      <x:c r="F405" s="14" t="str">
        <x:f>INDEX(Produtos!$B$2:$B$11,MATCH(E405,Produtos!$A$2:$A$11,0))</x:f>
        <x:v>Caderno Universitário</x:v>
      </x:c>
      <x:c r="G405" s="18" t="n">
        <x:v>1</x:v>
      </x:c>
      <x:c r="H405" s="17" t="n">
        <x:f>INDEX(Produtos!$D$2:$D$11,MATCH(E405,Produtos!$A$2:$A$11,0))</x:f>
        <x:v>24.9</x:v>
      </x:c>
      <x:c r="I405" s="17" t="n">
        <x:f>G405*H405</x:f>
        <x:v>24.9</x:v>
      </x:c>
      <x:c r="J405" s="14" t="str">
        <x:v>Boleto</x:v>
      </x:c>
      <x:c r="K405" s="14" t="str">
        <x:v>Processando</x:v>
      </x:c>
      <x:c r="L405" s="15" t="str">
        <x:f>INDEX(Clientes!$F$2:$F$101,MATCH(C405,Clientes!$A$2:$A$101,0))</x:f>
        <x:v>SP</x:v>
      </x:c>
    </x:row>
    <x:row r="406" ht="20" customHeight="1">
      <x:c r="A406" s="13" t="str">
        <x:v>PED00405</x:v>
      </x:c>
      <x:c r="B406" s="19" t="n">
        <x:v>46234</x:v>
      </x:c>
      <x:c r="C406" s="14" t="str">
        <x:v>CLI0002</x:v>
      </x:c>
      <x:c r="D406" s="14" t="str">
        <x:f>INDEX(Clientes!$B$2:$B$101,MATCH(C406,Clientes!$A$2:$A$101,0))</x:f>
        <x:v>Enzo Cardoso Mendes</x:v>
      </x:c>
      <x:c r="E406" s="14" t="str">
        <x:v>PROD001</x:v>
      </x:c>
      <x:c r="F406" s="14" t="str">
        <x:f>INDEX(Produtos!$B$2:$B$11,MATCH(E406,Produtos!$A$2:$A$11,0))</x:f>
        <x:v>Caderno Universitário</x:v>
      </x:c>
      <x:c r="G406" s="18" t="n">
        <x:v>7</x:v>
      </x:c>
      <x:c r="H406" s="17" t="n">
        <x:f>INDEX(Produtos!$D$2:$D$11,MATCH(E406,Produtos!$A$2:$A$11,0))</x:f>
        <x:v>24.9</x:v>
      </x:c>
      <x:c r="I406" s="17" t="n">
        <x:f>G406*H406</x:f>
        <x:v>174.29999999999998</x:v>
      </x:c>
      <x:c r="J406" s="14" t="str">
        <x:v>Cartão de crédito</x:v>
      </x:c>
      <x:c r="K406" s="14" t="str">
        <x:v>Entregue</x:v>
      </x:c>
      <x:c r="L406" s="15" t="str">
        <x:f>INDEX(Clientes!$F$2:$F$101,MATCH(C406,Clientes!$A$2:$A$101,0))</x:f>
        <x:v>PR</x:v>
      </x:c>
    </x:row>
    <x:row r="407" ht="20" customHeight="1">
      <x:c r="A407" s="13" t="str">
        <x:v>PED00406</x:v>
      </x:c>
      <x:c r="B407" s="19" t="n">
        <x:v>46200</x:v>
      </x:c>
      <x:c r="C407" s="14" t="str">
        <x:v>CLI0036</x:v>
      </x:c>
      <x:c r="D407" s="14" t="str">
        <x:f>INDEX(Clientes!$B$2:$B$101,MATCH(C407,Clientes!$A$2:$A$101,0))</x:f>
        <x:v>Enzo Teixeira Machado</x:v>
      </x:c>
      <x:c r="E407" s="14" t="str">
        <x:v>PROD009</x:v>
      </x:c>
      <x:c r="F407" s="14" t="str">
        <x:f>INDEX(Produtos!$B$2:$B$11,MATCH(E407,Produtos!$A$2:$A$11,0))</x:f>
        <x:v>Carregador USB-C</x:v>
      </x:c>
      <x:c r="G407" s="18" t="n">
        <x:v>5</x:v>
      </x:c>
      <x:c r="H407" s="17" t="n">
        <x:f>INDEX(Produtos!$D$2:$D$11,MATCH(E407,Produtos!$A$2:$A$11,0))</x:f>
        <x:v>59.9</x:v>
      </x:c>
      <x:c r="I407" s="17" t="n">
        <x:f>G407*H407</x:f>
        <x:v>299.5</x:v>
      </x:c>
      <x:c r="J407" s="14" t="str">
        <x:v>Boleto</x:v>
      </x:c>
      <x:c r="K407" s="14" t="str">
        <x:v>Processando</x:v>
      </x:c>
      <x:c r="L407" s="15" t="str">
        <x:f>INDEX(Clientes!$F$2:$F$101,MATCH(C407,Clientes!$A$2:$A$101,0))</x:f>
        <x:v>SP</x:v>
      </x:c>
    </x:row>
    <x:row r="408" ht="20" customHeight="1">
      <x:c r="A408" s="13" t="str">
        <x:v>PED00407</x:v>
      </x:c>
      <x:c r="B408" s="19" t="n">
        <x:v>46288</x:v>
      </x:c>
      <x:c r="C408" s="14" t="str">
        <x:v>CLI0058</x:v>
      </x:c>
      <x:c r="D408" s="14" t="str">
        <x:f>INDEX(Clientes!$B$2:$B$101,MATCH(C408,Clientes!$A$2:$A$101,0))</x:f>
        <x:v>Igor Pereira Duarte</x:v>
      </x:c>
      <x:c r="E408" s="14" t="str">
        <x:v>PROD001</x:v>
      </x:c>
      <x:c r="F408" s="14" t="str">
        <x:f>INDEX(Produtos!$B$2:$B$11,MATCH(E408,Produtos!$A$2:$A$11,0))</x:f>
        <x:v>Caderno Universitário</x:v>
      </x:c>
      <x:c r="G408" s="18" t="n">
        <x:v>3</x:v>
      </x:c>
      <x:c r="H408" s="17" t="n">
        <x:f>INDEX(Produtos!$D$2:$D$11,MATCH(E408,Produtos!$A$2:$A$11,0))</x:f>
        <x:v>24.9</x:v>
      </x:c>
      <x:c r="I408" s="17" t="n">
        <x:f>G408*H408</x:f>
        <x:v>74.69999999999999</x:v>
      </x:c>
      <x:c r="J408" s="14" t="str">
        <x:v>Cartão de crédito</x:v>
      </x:c>
      <x:c r="K408" s="14" t="str">
        <x:v>Entregue</x:v>
      </x:c>
      <x:c r="L408" s="15" t="str">
        <x:f>INDEX(Clientes!$F$2:$F$101,MATCH(C408,Clientes!$A$2:$A$101,0))</x:f>
        <x:v>MG</x:v>
      </x:c>
    </x:row>
    <x:row r="409" ht="20" customHeight="1">
      <x:c r="A409" s="13" t="str">
        <x:v>PED00408</x:v>
      </x:c>
      <x:c r="B409" s="19" t="n">
        <x:v>46102</x:v>
      </x:c>
      <x:c r="C409" s="14" t="str">
        <x:v>CLI0072</x:v>
      </x:c>
      <x:c r="D409" s="14" t="str">
        <x:f>INDEX(Clientes!$B$2:$B$101,MATCH(C409,Clientes!$A$2:$A$101,0))</x:f>
        <x:v>Leonardo Farias Dias</x:v>
      </x:c>
      <x:c r="E409" s="14" t="str">
        <x:v>PROD003</x:v>
      </x:c>
      <x:c r="F409" s="14" t="str">
        <x:f>INDEX(Produtos!$B$2:$B$11,MATCH(E409,Produtos!$A$2:$A$11,0))</x:f>
        <x:v>Fone Bluetooth</x:v>
      </x:c>
      <x:c r="G409" s="18" t="n">
        <x:v>1</x:v>
      </x:c>
      <x:c r="H409" s="17" t="n">
        <x:f>INDEX(Produtos!$D$2:$D$11,MATCH(E409,Produtos!$A$2:$A$11,0))</x:f>
        <x:v>129.9</x:v>
      </x:c>
      <x:c r="I409" s="17" t="n">
        <x:f>G409*H409</x:f>
        <x:v>129.9</x:v>
      </x:c>
      <x:c r="J409" s="14" t="str">
        <x:v>Boleto</x:v>
      </x:c>
      <x:c r="K409" s="14" t="str">
        <x:v>Processando</x:v>
      </x:c>
      <x:c r="L409" s="15" t="str">
        <x:f>INDEX(Clientes!$F$2:$F$101,MATCH(C409,Clientes!$A$2:$A$101,0))</x:f>
        <x:v>SP</x:v>
      </x:c>
    </x:row>
    <x:row r="410" ht="20" customHeight="1">
      <x:c r="A410" s="13" t="str">
        <x:v>PED00409</x:v>
      </x:c>
      <x:c r="B410" s="19" t="n">
        <x:v>46256</x:v>
      </x:c>
      <x:c r="C410" s="14" t="str">
        <x:v>CLI0022</x:v>
      </x:c>
      <x:c r="D410" s="14" t="str">
        <x:f>INDEX(Clientes!$B$2:$B$101,MATCH(C410,Clientes!$A$2:$A$101,0))</x:f>
        <x:v>Bruno Teixeira Souza</x:v>
      </x:c>
      <x:c r="E410" s="14" t="str">
        <x:v>PROD003</x:v>
      </x:c>
      <x:c r="F410" s="14" t="str">
        <x:f>INDEX(Produtos!$B$2:$B$11,MATCH(E410,Produtos!$A$2:$A$11,0))</x:f>
        <x:v>Fone Bluetooth</x:v>
      </x:c>
      <x:c r="G410" s="18" t="n">
        <x:v>7</x:v>
      </x:c>
      <x:c r="H410" s="17" t="n">
        <x:f>INDEX(Produtos!$D$2:$D$11,MATCH(E410,Produtos!$A$2:$A$11,0))</x:f>
        <x:v>129.9</x:v>
      </x:c>
      <x:c r="I410" s="17" t="n">
        <x:f>G410*H410</x:f>
        <x:v>909.3000000000001</x:v>
      </x:c>
      <x:c r="J410" s="14" t="str">
        <x:v>Cartão de crédito</x:v>
      </x:c>
      <x:c r="K410" s="14" t="str">
        <x:v>Entregue</x:v>
      </x:c>
      <x:c r="L410" s="15" t="str">
        <x:f>INDEX(Clientes!$F$2:$F$101,MATCH(C410,Clientes!$A$2:$A$101,0))</x:f>
        <x:v>SC</x:v>
      </x:c>
    </x:row>
    <x:row r="411" ht="20" customHeight="1">
      <x:c r="A411" s="13" t="str">
        <x:v>PED00410</x:v>
      </x:c>
      <x:c r="B411" s="19" t="n">
        <x:v>46100</x:v>
      </x:c>
      <x:c r="C411" s="14" t="str">
        <x:v>CLI0004</x:v>
      </x:c>
      <x:c r="D411" s="14" t="str">
        <x:f>INDEX(Clientes!$B$2:$B$101,MATCH(C411,Clientes!$A$2:$A$101,0))</x:f>
        <x:v>Enzo Ibrahim Queiroz</x:v>
      </x:c>
      <x:c r="E411" s="14" t="str">
        <x:v>PROD009</x:v>
      </x:c>
      <x:c r="F411" s="14" t="str">
        <x:f>INDEX(Produtos!$B$2:$B$11,MATCH(E411,Produtos!$A$2:$A$11,0))</x:f>
        <x:v>Carregador USB-C</x:v>
      </x:c>
      <x:c r="G411" s="18" t="n">
        <x:v>5</x:v>
      </x:c>
      <x:c r="H411" s="17" t="n">
        <x:f>INDEX(Produtos!$D$2:$D$11,MATCH(E411,Produtos!$A$2:$A$11,0))</x:f>
        <x:v>59.9</x:v>
      </x:c>
      <x:c r="I411" s="17" t="n">
        <x:f>G411*H411</x:f>
        <x:v>299.5</x:v>
      </x:c>
      <x:c r="J411" s="14" t="str">
        <x:v>Boleto</x:v>
      </x:c>
      <x:c r="K411" s="14" t="str">
        <x:v>Processando</x:v>
      </x:c>
      <x:c r="L411" s="15" t="str">
        <x:f>INDEX(Clientes!$F$2:$F$101,MATCH(C411,Clientes!$A$2:$A$101,0))</x:f>
        <x:v>SP</x:v>
      </x:c>
    </x:row>
    <x:row r="412" ht="20" customHeight="1">
      <x:c r="A412" s="13" t="str">
        <x:v>PED00411</x:v>
      </x:c>
      <x:c r="B412" s="19" t="n">
        <x:v>46268</x:v>
      </x:c>
      <x:c r="C412" s="14" t="str">
        <x:v>CLI0038</x:v>
      </x:c>
      <x:c r="D412" s="14" t="str">
        <x:f>INDEX(Clientes!$B$2:$B$101,MATCH(C412,Clientes!$A$2:$A$101,0))</x:f>
        <x:v>Pedro Ramos Junqueira</x:v>
      </x:c>
      <x:c r="E412" s="14" t="str">
        <x:v>PROD005</x:v>
      </x:c>
      <x:c r="F412" s="14" t="str">
        <x:f>INDEX(Produtos!$B$2:$B$11,MATCH(E412,Produtos!$A$2:$A$11,0))</x:f>
        <x:v>Luminária de Mesa LED</x:v>
      </x:c>
      <x:c r="G412" s="18" t="n">
        <x:v>3</x:v>
      </x:c>
      <x:c r="H412" s="17" t="n">
        <x:f>INDEX(Produtos!$D$2:$D$11,MATCH(E412,Produtos!$A$2:$A$11,0))</x:f>
        <x:v>89.5</x:v>
      </x:c>
      <x:c r="I412" s="17" t="n">
        <x:f>G412*H412</x:f>
        <x:v>268.5</x:v>
      </x:c>
      <x:c r="J412" s="14" t="str">
        <x:v>Cartão de crédito</x:v>
      </x:c>
      <x:c r="K412" s="14" t="str">
        <x:v>Entregue</x:v>
      </x:c>
      <x:c r="L412" s="15" t="str">
        <x:f>INDEX(Clientes!$F$2:$F$101,MATCH(C412,Clientes!$A$2:$A$101,0))</x:f>
        <x:v>SC</x:v>
      </x:c>
    </x:row>
    <x:row r="413" ht="20" customHeight="1">
      <x:c r="A413" s="13" t="str">
        <x:v>PED00412</x:v>
      </x:c>
      <x:c r="B413" s="19" t="n">
        <x:v>46219</x:v>
      </x:c>
      <x:c r="C413" s="14" t="str">
        <x:v>CLI0012</x:v>
      </x:c>
      <x:c r="D413" s="14" t="str">
        <x:f>INDEX(Clientes!$B$2:$B$101,MATCH(C413,Clientes!$A$2:$A$101,0))</x:f>
        <x:v>Pedro Ramos Junqueira</x:v>
      </x:c>
      <x:c r="E413" s="14" t="str">
        <x:v>PROD001</x:v>
      </x:c>
      <x:c r="F413" s="14" t="str">
        <x:f>INDEX(Produtos!$B$2:$B$11,MATCH(E413,Produtos!$A$2:$A$11,0))</x:f>
        <x:v>Caderno Universitário</x:v>
      </x:c>
      <x:c r="G413" s="18" t="n">
        <x:v>1</x:v>
      </x:c>
      <x:c r="H413" s="17" t="n">
        <x:f>INDEX(Produtos!$D$2:$D$11,MATCH(E413,Produtos!$A$2:$A$11,0))</x:f>
        <x:v>24.9</x:v>
      </x:c>
      <x:c r="I413" s="17" t="n">
        <x:f>G413*H413</x:f>
        <x:v>24.9</x:v>
      </x:c>
      <x:c r="J413" s="14" t="str">
        <x:v>Boleto</x:v>
      </x:c>
      <x:c r="K413" s="14" t="str">
        <x:v>Processando</x:v>
      </x:c>
      <x:c r="L413" s="15" t="str">
        <x:f>INDEX(Clientes!$F$2:$F$101,MATCH(C413,Clientes!$A$2:$A$101,0))</x:f>
        <x:v>SC</x:v>
      </x:c>
    </x:row>
    <x:row r="414" ht="20" customHeight="1">
      <x:c r="A414" s="13" t="str">
        <x:v>PED00413</x:v>
      </x:c>
      <x:c r="B414" s="19" t="n">
        <x:v>46170</x:v>
      </x:c>
      <x:c r="C414" s="14" t="str">
        <x:v>CLI0078</x:v>
      </x:c>
      <x:c r="D414" s="14" t="str">
        <x:f>INDEX(Clientes!$B$2:$B$101,MATCH(C414,Clientes!$A$2:$A$101,0))</x:f>
        <x:v>Lucas Gomes Queiroz</x:v>
      </x:c>
      <x:c r="E414" s="14" t="str">
        <x:v>PROD003</x:v>
      </x:c>
      <x:c r="F414" s="14" t="str">
        <x:f>INDEX(Produtos!$B$2:$B$11,MATCH(E414,Produtos!$A$2:$A$11,0))</x:f>
        <x:v>Fone Bluetooth</x:v>
      </x:c>
      <x:c r="G414" s="18" t="n">
        <x:v>7</x:v>
      </x:c>
      <x:c r="H414" s="17" t="n">
        <x:f>INDEX(Produtos!$D$2:$D$11,MATCH(E414,Produtos!$A$2:$A$11,0))</x:f>
        <x:v>129.9</x:v>
      </x:c>
      <x:c r="I414" s="17" t="n">
        <x:f>G414*H414</x:f>
        <x:v>909.3000000000001</x:v>
      </x:c>
      <x:c r="J414" s="14" t="str">
        <x:v>Cartão de crédito</x:v>
      </x:c>
      <x:c r="K414" s="14" t="str">
        <x:v>Entregue</x:v>
      </x:c>
      <x:c r="L414" s="15" t="str">
        <x:f>INDEX(Clientes!$F$2:$F$101,MATCH(C414,Clientes!$A$2:$A$101,0))</x:f>
        <x:v>SP</x:v>
      </x:c>
    </x:row>
    <x:row r="415" ht="20" customHeight="1">
      <x:c r="A415" s="13" t="str">
        <x:v>PED00414</x:v>
      </x:c>
      <x:c r="B415" s="19" t="n">
        <x:v>46194</x:v>
      </x:c>
      <x:c r="C415" s="14" t="str">
        <x:v>CLI0028</x:v>
      </x:c>
      <x:c r="D415" s="14" t="str">
        <x:f>INDEX(Clientes!$B$2:$B$101,MATCH(C415,Clientes!$A$2:$A$101,0))</x:f>
        <x:v>Leonardo Nascimento Junqueira</x:v>
      </x:c>
      <x:c r="E415" s="14" t="str">
        <x:v>PROD001</x:v>
      </x:c>
      <x:c r="F415" s="14" t="str">
        <x:f>INDEX(Produtos!$B$2:$B$11,MATCH(E415,Produtos!$A$2:$A$11,0))</x:f>
        <x:v>Caderno Universitário</x:v>
      </x:c>
      <x:c r="G415" s="18" t="n">
        <x:v>5</x:v>
      </x:c>
      <x:c r="H415" s="17" t="n">
        <x:f>INDEX(Produtos!$D$2:$D$11,MATCH(E415,Produtos!$A$2:$A$11,0))</x:f>
        <x:v>24.9</x:v>
      </x:c>
      <x:c r="I415" s="17" t="n">
        <x:f>G415*H415</x:f>
        <x:v>124.5</x:v>
      </x:c>
      <x:c r="J415" s="14" t="str">
        <x:v>Boleto</x:v>
      </x:c>
      <x:c r="K415" s="14" t="str">
        <x:v>Processando</x:v>
      </x:c>
      <x:c r="L415" s="15" t="str">
        <x:f>INDEX(Clientes!$F$2:$F$101,MATCH(C415,Clientes!$A$2:$A$101,0))</x:f>
        <x:v>SC</x:v>
      </x:c>
    </x:row>
    <x:row r="416" ht="20" customHeight="1">
      <x:c r="A416" s="13" t="str">
        <x:v>PED00415</x:v>
      </x:c>
      <x:c r="B416" s="19" t="n">
        <x:v>46159</x:v>
      </x:c>
      <x:c r="C416" s="14" t="str">
        <x:v>CLI0010</x:v>
      </x:c>
      <x:c r="D416" s="14" t="str">
        <x:f>INDEX(Clientes!$B$2:$B$101,MATCH(C416,Clientes!$A$2:$A$101,0))</x:f>
        <x:v>Samuel Almeida Henrique</x:v>
      </x:c>
      <x:c r="E416" s="14" t="str">
        <x:v>PROD005</x:v>
      </x:c>
      <x:c r="F416" s="14" t="str">
        <x:f>INDEX(Produtos!$B$2:$B$11,MATCH(E416,Produtos!$A$2:$A$11,0))</x:f>
        <x:v>Luminária de Mesa LED</x:v>
      </x:c>
      <x:c r="G416" s="18" t="n">
        <x:v>3</x:v>
      </x:c>
      <x:c r="H416" s="17" t="n">
        <x:f>INDEX(Produtos!$D$2:$D$11,MATCH(E416,Produtos!$A$2:$A$11,0))</x:f>
        <x:v>89.5</x:v>
      </x:c>
      <x:c r="I416" s="17" t="n">
        <x:f>G416*H416</x:f>
        <x:v>268.5</x:v>
      </x:c>
      <x:c r="J416" s="14" t="str">
        <x:v>Cartão de crédito</x:v>
      </x:c>
      <x:c r="K416" s="14" t="str">
        <x:v>Entregue</x:v>
      </x:c>
      <x:c r="L416" s="15" t="str">
        <x:f>INDEX(Clientes!$F$2:$F$101,MATCH(C416,Clientes!$A$2:$A$101,0))</x:f>
        <x:v>PR</x:v>
      </x:c>
    </x:row>
    <x:row r="417" ht="20" customHeight="1">
      <x:c r="A417" s="13" t="str">
        <x:v>PED00416</x:v>
      </x:c>
      <x:c r="B417" s="19" t="n">
        <x:v>46232</x:v>
      </x:c>
      <x:c r="C417" s="14" t="str">
        <x:v>CLI0020</x:v>
      </x:c>
      <x:c r="D417" s="14" t="str">
        <x:f>INDEX(Clientes!$B$2:$B$101,MATCH(C417,Clientes!$A$2:$A$101,0))</x:f>
        <x:v>João Esteves Garcia</x:v>
      </x:c>
      <x:c r="E417" s="14" t="str">
        <x:v>PROD007</x:v>
      </x:c>
      <x:c r="F417" s="14" t="str">
        <x:f>INDEX(Produtos!$B$2:$B$11,MATCH(E417,Produtos!$A$2:$A$11,0))</x:f>
        <x:v>Caneca Cerâmica</x:v>
      </x:c>
      <x:c r="G417" s="18" t="n">
        <x:v>1</x:v>
      </x:c>
      <x:c r="H417" s="17" t="n">
        <x:f>INDEX(Produtos!$D$2:$D$11,MATCH(E417,Produtos!$A$2:$A$11,0))</x:f>
        <x:v>32</x:v>
      </x:c>
      <x:c r="I417" s="17" t="n">
        <x:f>G417*H417</x:f>
        <x:v>32</x:v>
      </x:c>
      <x:c r="J417" s="14" t="str">
        <x:v>Boleto</x:v>
      </x:c>
      <x:c r="K417" s="14" t="str">
        <x:v>Processando</x:v>
      </x:c>
      <x:c r="L417" s="15" t="str">
        <x:f>INDEX(Clientes!$F$2:$F$101,MATCH(C417,Clientes!$A$2:$A$101,0))</x:f>
        <x:v>MG</x:v>
      </x:c>
    </x:row>
    <x:row r="418" ht="20" customHeight="1">
      <x:c r="A418" s="13" t="str">
        <x:v>PED00417</x:v>
      </x:c>
      <x:c r="B418" s="19" t="n">
        <x:v>46070</x:v>
      </x:c>
      <x:c r="C418" s="14" t="str">
        <x:v>CLI0018</x:v>
      </x:c>
      <x:c r="D418" s="14" t="str">
        <x:f>INDEX(Clientes!$B$2:$B$101,MATCH(C418,Clientes!$A$2:$A$101,0))</x:f>
        <x:v>Bruno Cardoso Dias</x:v>
      </x:c>
      <x:c r="E418" s="14" t="str">
        <x:v>PROD001</x:v>
      </x:c>
      <x:c r="F418" s="14" t="str">
        <x:f>INDEX(Produtos!$B$2:$B$11,MATCH(E418,Produtos!$A$2:$A$11,0))</x:f>
        <x:v>Caderno Universitário</x:v>
      </x:c>
      <x:c r="G418" s="18" t="n">
        <x:v>7</x:v>
      </x:c>
      <x:c r="H418" s="17" t="n">
        <x:f>INDEX(Produtos!$D$2:$D$11,MATCH(E418,Produtos!$A$2:$A$11,0))</x:f>
        <x:v>24.9</x:v>
      </x:c>
      <x:c r="I418" s="17" t="n">
        <x:f>G418*H418</x:f>
        <x:v>174.29999999999998</x:v>
      </x:c>
      <x:c r="J418" s="14" t="str">
        <x:v>Cartão de crédito</x:v>
      </x:c>
      <x:c r="K418" s="14" t="str">
        <x:v>Entregue</x:v>
      </x:c>
      <x:c r="L418" s="15" t="str">
        <x:f>INDEX(Clientes!$F$2:$F$101,MATCH(C418,Clientes!$A$2:$A$101,0))</x:f>
        <x:v>BA</x:v>
      </x:c>
    </x:row>
    <x:row r="419" ht="20" customHeight="1">
      <x:c r="A419" s="13" t="str">
        <x:v>PED00418</x:v>
      </x:c>
      <x:c r="B419" s="19" t="n">
        <x:v>46191</x:v>
      </x:c>
      <x:c r="C419" s="14" t="str">
        <x:v>CLI0072</x:v>
      </x:c>
      <x:c r="D419" s="14" t="str">
        <x:f>INDEX(Clientes!$B$2:$B$101,MATCH(C419,Clientes!$A$2:$A$101,0))</x:f>
        <x:v>Leonardo Farias Dias</x:v>
      </x:c>
      <x:c r="E419" s="14" t="str">
        <x:v>PROD005</x:v>
      </x:c>
      <x:c r="F419" s="14" t="str">
        <x:f>INDEX(Produtos!$B$2:$B$11,MATCH(E419,Produtos!$A$2:$A$11,0))</x:f>
        <x:v>Luminária de Mesa LED</x:v>
      </x:c>
      <x:c r="G419" s="18" t="n">
        <x:v>5</x:v>
      </x:c>
      <x:c r="H419" s="17" t="n">
        <x:f>INDEX(Produtos!$D$2:$D$11,MATCH(E419,Produtos!$A$2:$A$11,0))</x:f>
        <x:v>89.5</x:v>
      </x:c>
      <x:c r="I419" s="17" t="n">
        <x:f>G419*H419</x:f>
        <x:v>447.5</x:v>
      </x:c>
      <x:c r="J419" s="14" t="str">
        <x:v>Boleto</x:v>
      </x:c>
      <x:c r="K419" s="14" t="str">
        <x:v>Processando</x:v>
      </x:c>
      <x:c r="L419" s="15" t="str">
        <x:f>INDEX(Clientes!$F$2:$F$101,MATCH(C419,Clientes!$A$2:$A$101,0))</x:f>
        <x:v>SP</x:v>
      </x:c>
    </x:row>
    <x:row r="420" ht="20" customHeight="1">
      <x:c r="A420" s="13" t="str">
        <x:v>PED00419</x:v>
      </x:c>
      <x:c r="B420" s="19" t="n">
        <x:v>46196</x:v>
      </x:c>
      <x:c r="C420" s="14" t="str">
        <x:v>CLI0086</x:v>
      </x:c>
      <x:c r="D420" s="14" t="str">
        <x:f>INDEX(Clientes!$B$2:$B$101,MATCH(C420,Clientes!$A$2:$A$101,0))</x:f>
        <x:v>Pedro Lopes Henrique</x:v>
      </x:c>
      <x:c r="E420" s="14" t="str">
        <x:v>PROD007</x:v>
      </x:c>
      <x:c r="F420" s="14" t="str">
        <x:f>INDEX(Produtos!$B$2:$B$11,MATCH(E420,Produtos!$A$2:$A$11,0))</x:f>
        <x:v>Caneca Cerâmica</x:v>
      </x:c>
      <x:c r="G420" s="18" t="n">
        <x:v>3</x:v>
      </x:c>
      <x:c r="H420" s="17" t="n">
        <x:f>INDEX(Produtos!$D$2:$D$11,MATCH(E420,Produtos!$A$2:$A$11,0))</x:f>
        <x:v>32</x:v>
      </x:c>
      <x:c r="I420" s="17" t="n">
        <x:f>G420*H420</x:f>
        <x:v>96</x:v>
      </x:c>
      <x:c r="J420" s="14" t="str">
        <x:v>Cartão de crédito</x:v>
      </x:c>
      <x:c r="K420" s="14" t="str">
        <x:v>Entregue</x:v>
      </x:c>
      <x:c r="L420" s="15" t="str">
        <x:f>INDEX(Clientes!$F$2:$F$101,MATCH(C420,Clientes!$A$2:$A$101,0))</x:f>
        <x:v>PR</x:v>
      </x:c>
    </x:row>
    <x:row r="421" ht="20" customHeight="1">
      <x:c r="A421" s="13" t="str">
        <x:v>PED00420</x:v>
      </x:c>
      <x:c r="B421" s="19" t="n">
        <x:v>46252</x:v>
      </x:c>
      <x:c r="C421" s="14" t="str">
        <x:v>CLI0028</x:v>
      </x:c>
      <x:c r="D421" s="14" t="str">
        <x:f>INDEX(Clientes!$B$2:$B$101,MATCH(C421,Clientes!$A$2:$A$101,0))</x:f>
        <x:v>Leonardo Nascimento Junqueira</x:v>
      </x:c>
      <x:c r="E421" s="14" t="str">
        <x:v>PROD005</x:v>
      </x:c>
      <x:c r="F421" s="14" t="str">
        <x:f>INDEX(Produtos!$B$2:$B$11,MATCH(E421,Produtos!$A$2:$A$11,0))</x:f>
        <x:v>Luminária de Mesa LED</x:v>
      </x:c>
      <x:c r="G421" s="18" t="n">
        <x:v>1</x:v>
      </x:c>
      <x:c r="H421" s="17" t="n">
        <x:f>INDEX(Produtos!$D$2:$D$11,MATCH(E421,Produtos!$A$2:$A$11,0))</x:f>
        <x:v>89.5</x:v>
      </x:c>
      <x:c r="I421" s="17" t="n">
        <x:f>G421*H421</x:f>
        <x:v>89.5</x:v>
      </x:c>
      <x:c r="J421" s="14" t="str">
        <x:v>Boleto</x:v>
      </x:c>
      <x:c r="K421" s="14" t="str">
        <x:v>Processando</x:v>
      </x:c>
      <x:c r="L421" s="15" t="str">
        <x:f>INDEX(Clientes!$F$2:$F$101,MATCH(C421,Clientes!$A$2:$A$101,0))</x:f>
        <x:v>SC</x:v>
      </x:c>
    </x:row>
    <x:row r="422" ht="20" customHeight="1">
      <x:c r="A422" s="13" t="str">
        <x:v>PED00421</x:v>
      </x:c>
      <x:c r="B422" s="19" t="n">
        <x:v>46242</x:v>
      </x:c>
      <x:c r="C422" s="14" t="str">
        <x:v>CLI0082</x:v>
      </x:c>
      <x:c r="D422" s="14" t="str">
        <x:f>INDEX(Clientes!$B$2:$B$101,MATCH(C422,Clientes!$A$2:$A$101,0))</x:f>
        <x:v>Bruno Esteves Barbosa</x:v>
      </x:c>
      <x:c r="E422" s="14" t="str">
        <x:v>PROD007</x:v>
      </x:c>
      <x:c r="F422" s="14" t="str">
        <x:f>INDEX(Produtos!$B$2:$B$11,MATCH(E422,Produtos!$A$2:$A$11,0))</x:f>
        <x:v>Caneca Cerâmica</x:v>
      </x:c>
      <x:c r="G422" s="18" t="n">
        <x:v>7</x:v>
      </x:c>
      <x:c r="H422" s="17" t="n">
        <x:f>INDEX(Produtos!$D$2:$D$11,MATCH(E422,Produtos!$A$2:$A$11,0))</x:f>
        <x:v>32</x:v>
      </x:c>
      <x:c r="I422" s="17" t="n">
        <x:f>G422*H422</x:f>
        <x:v>224</x:v>
      </x:c>
      <x:c r="J422" s="14" t="str">
        <x:v>Cartão de crédito</x:v>
      </x:c>
      <x:c r="K422" s="14" t="str">
        <x:v>Entregue</x:v>
      </x:c>
      <x:c r="L422" s="15" t="str">
        <x:f>INDEX(Clientes!$F$2:$F$101,MATCH(C422,Clientes!$A$2:$A$101,0))</x:f>
        <x:v>SC</x:v>
      </x:c>
    </x:row>
    <x:row r="423" ht="20" customHeight="1">
      <x:c r="A423" s="13" t="str">
        <x:v>PED00422</x:v>
      </x:c>
      <x:c r="B423" s="19" t="n">
        <x:v>46254</x:v>
      </x:c>
      <x:c r="C423" s="14" t="str">
        <x:v>CLI0080</x:v>
      </x:c>
      <x:c r="D423" s="14" t="str">
        <x:f>INDEX(Clientes!$B$2:$B$101,MATCH(C423,Clientes!$A$2:$A$101,0))</x:f>
        <x:v>Caio Nascimento Vargas</x:v>
      </x:c>
      <x:c r="E423" s="14" t="str">
        <x:v>PROD003</x:v>
      </x:c>
      <x:c r="F423" s="14" t="str">
        <x:f>INDEX(Produtos!$B$2:$B$11,MATCH(E423,Produtos!$A$2:$A$11,0))</x:f>
        <x:v>Fone Bluetooth</x:v>
      </x:c>
      <x:c r="G423" s="18" t="n">
        <x:v>5</x:v>
      </x:c>
      <x:c r="H423" s="17" t="n">
        <x:f>INDEX(Produtos!$D$2:$D$11,MATCH(E423,Produtos!$A$2:$A$11,0))</x:f>
        <x:v>129.9</x:v>
      </x:c>
      <x:c r="I423" s="17" t="n">
        <x:f>G423*H423</x:f>
        <x:v>649.5</x:v>
      </x:c>
      <x:c r="J423" s="14" t="str">
        <x:v>Boleto</x:v>
      </x:c>
      <x:c r="K423" s="14" t="str">
        <x:v>Processando</x:v>
      </x:c>
      <x:c r="L423" s="15" t="str">
        <x:f>INDEX(Clientes!$F$2:$F$101,MATCH(C423,Clientes!$A$2:$A$101,0))</x:f>
        <x:v>SC</x:v>
      </x:c>
    </x:row>
    <x:row r="424" ht="20" customHeight="1">
      <x:c r="A424" s="13" t="str">
        <x:v>PED00423</x:v>
      </x:c>
      <x:c r="B424" s="19" t="n">
        <x:v>46105</x:v>
      </x:c>
      <x:c r="C424" s="14" t="str">
        <x:v>CLI0070</x:v>
      </x:c>
      <x:c r="D424" s="14" t="str">
        <x:f>INDEX(Clientes!$B$2:$B$101,MATCH(C424,Clientes!$A$2:$A$101,0))</x:f>
        <x:v>Bruno Rocha Barbosa</x:v>
      </x:c>
      <x:c r="E424" s="14" t="str">
        <x:v>PROD001</x:v>
      </x:c>
      <x:c r="F424" s="14" t="str">
        <x:f>INDEX(Produtos!$B$2:$B$11,MATCH(E424,Produtos!$A$2:$A$11,0))</x:f>
        <x:v>Caderno Universitário</x:v>
      </x:c>
      <x:c r="G424" s="18" t="n">
        <x:v>3</x:v>
      </x:c>
      <x:c r="H424" s="17" t="n">
        <x:f>INDEX(Produtos!$D$2:$D$11,MATCH(E424,Produtos!$A$2:$A$11,0))</x:f>
        <x:v>24.9</x:v>
      </x:c>
      <x:c r="I424" s="17" t="n">
        <x:f>G424*H424</x:f>
        <x:v>74.69999999999999</x:v>
      </x:c>
      <x:c r="J424" s="14" t="str">
        <x:v>Cartão de crédito</x:v>
      </x:c>
      <x:c r="K424" s="14" t="str">
        <x:v>Entregue</x:v>
      </x:c>
      <x:c r="L424" s="15" t="str">
        <x:f>INDEX(Clientes!$F$2:$F$101,MATCH(C424,Clientes!$A$2:$A$101,0))</x:f>
        <x:v>SC</x:v>
      </x:c>
    </x:row>
    <x:row r="425" ht="20" customHeight="1">
      <x:c r="A425" s="13" t="str">
        <x:v>PED00424</x:v>
      </x:c>
      <x:c r="B425" s="19" t="n">
        <x:v>46060</x:v>
      </x:c>
      <x:c r="C425" s="14" t="str">
        <x:v>CLI0068</x:v>
      </x:c>
      <x:c r="D425" s="14" t="str">
        <x:f>INDEX(Clientes!$B$2:$B$101,MATCH(C425,Clientes!$A$2:$A$101,0))</x:f>
        <x:v>Igor Andrade Machado</x:v>
      </x:c>
      <x:c r="E425" s="14" t="str">
        <x:v>PROD003</x:v>
      </x:c>
      <x:c r="F425" s="14" t="str">
        <x:f>INDEX(Produtos!$B$2:$B$11,MATCH(E425,Produtos!$A$2:$A$11,0))</x:f>
        <x:v>Fone Bluetooth</x:v>
      </x:c>
      <x:c r="G425" s="18" t="n">
        <x:v>1</x:v>
      </x:c>
      <x:c r="H425" s="17" t="n">
        <x:f>INDEX(Produtos!$D$2:$D$11,MATCH(E425,Produtos!$A$2:$A$11,0))</x:f>
        <x:v>129.9</x:v>
      </x:c>
      <x:c r="I425" s="17" t="n">
        <x:f>G425*H425</x:f>
        <x:v>129.9</x:v>
      </x:c>
      <x:c r="J425" s="14" t="str">
        <x:v>Boleto</x:v>
      </x:c>
      <x:c r="K425" s="14" t="str">
        <x:v>Processando</x:v>
      </x:c>
      <x:c r="L425" s="15" t="str">
        <x:f>INDEX(Clientes!$F$2:$F$101,MATCH(C425,Clientes!$A$2:$A$101,0))</x:f>
        <x:v>SP</x:v>
      </x:c>
    </x:row>
    <x:row r="426" ht="20" customHeight="1">
      <x:c r="A426" s="13" t="str">
        <x:v>PED00425</x:v>
      </x:c>
      <x:c r="B426" s="19" t="n">
        <x:v>46062</x:v>
      </x:c>
      <x:c r="C426" s="14" t="str">
        <x:v>CLI0066</x:v>
      </x:c>
      <x:c r="D426" s="14" t="str">
        <x:f>INDEX(Clientes!$B$2:$B$101,MATCH(C426,Clientes!$A$2:$A$101,0))</x:f>
        <x:v>Enzo Farias Barbosa</x:v>
      </x:c>
      <x:c r="E426" s="14" t="str">
        <x:v>PROD001</x:v>
      </x:c>
      <x:c r="F426" s="14" t="str">
        <x:f>INDEX(Produtos!$B$2:$B$11,MATCH(E426,Produtos!$A$2:$A$11,0))</x:f>
        <x:v>Caderno Universitário</x:v>
      </x:c>
      <x:c r="G426" s="18" t="n">
        <x:v>7</x:v>
      </x:c>
      <x:c r="H426" s="17" t="n">
        <x:f>INDEX(Produtos!$D$2:$D$11,MATCH(E426,Produtos!$A$2:$A$11,0))</x:f>
        <x:v>24.9</x:v>
      </x:c>
      <x:c r="I426" s="17" t="n">
        <x:f>G426*H426</x:f>
        <x:v>174.29999999999998</x:v>
      </x:c>
      <x:c r="J426" s="14" t="str">
        <x:v>Cartão de crédito</x:v>
      </x:c>
      <x:c r="K426" s="14" t="str">
        <x:v>Entregue</x:v>
      </x:c>
      <x:c r="L426" s="15" t="str">
        <x:f>INDEX(Clientes!$F$2:$F$101,MATCH(C426,Clientes!$A$2:$A$101,0))</x:f>
        <x:v>SC</x:v>
      </x:c>
    </x:row>
    <x:row r="427" ht="20" customHeight="1">
      <x:c r="A427" s="13" t="str">
        <x:v>PED00426</x:v>
      </x:c>
      <x:c r="B427" s="19" t="n">
        <x:v>46247</x:v>
      </x:c>
      <x:c r="C427" s="14" t="str">
        <x:v>CLI0096</x:v>
      </x:c>
      <x:c r="D427" s="14" t="str">
        <x:f>INDEX(Clientes!$B$2:$B$101,MATCH(C427,Clientes!$A$2:$A$101,0))</x:f>
        <x:v>Bruno Farias Henrique</x:v>
      </x:c>
      <x:c r="E427" s="14" t="str">
        <x:v>PROD009</x:v>
      </x:c>
      <x:c r="F427" s="14" t="str">
        <x:f>INDEX(Produtos!$B$2:$B$11,MATCH(E427,Produtos!$A$2:$A$11,0))</x:f>
        <x:v>Carregador USB-C</x:v>
      </x:c>
      <x:c r="G427" s="18" t="n">
        <x:v>5</x:v>
      </x:c>
      <x:c r="H427" s="17" t="n">
        <x:f>INDEX(Produtos!$D$2:$D$11,MATCH(E427,Produtos!$A$2:$A$11,0))</x:f>
        <x:v>59.9</x:v>
      </x:c>
      <x:c r="I427" s="17" t="n">
        <x:f>G427*H427</x:f>
        <x:v>299.5</x:v>
      </x:c>
      <x:c r="J427" s="14" t="str">
        <x:v>Boleto</x:v>
      </x:c>
      <x:c r="K427" s="14" t="str">
        <x:v>Processando</x:v>
      </x:c>
      <x:c r="L427" s="15" t="str">
        <x:f>INDEX(Clientes!$F$2:$F$101,MATCH(C427,Clientes!$A$2:$A$101,0))</x:f>
        <x:v>MG</x:v>
      </x:c>
    </x:row>
    <x:row r="428" ht="20" customHeight="1">
      <x:c r="A428" s="13" t="str">
        <x:v>PED00427</x:v>
      </x:c>
      <x:c r="B428" s="19" t="n">
        <x:v>46193</x:v>
      </x:c>
      <x:c r="C428" s="14" t="str">
        <x:v>CLI0098</x:v>
      </x:c>
      <x:c r="D428" s="14" t="str">
        <x:f>INDEX(Clientes!$B$2:$B$101,MATCH(C428,Clientes!$A$2:$A$101,0))</x:f>
        <x:v>Pedro Lopes Vargas</x:v>
      </x:c>
      <x:c r="E428" s="14" t="str">
        <x:v>PROD009</x:v>
      </x:c>
      <x:c r="F428" s="14" t="str">
        <x:f>INDEX(Produtos!$B$2:$B$11,MATCH(E428,Produtos!$A$2:$A$11,0))</x:f>
        <x:v>Carregador USB-C</x:v>
      </x:c>
      <x:c r="G428" s="18" t="n">
        <x:v>3</x:v>
      </x:c>
      <x:c r="H428" s="17" t="n">
        <x:f>INDEX(Produtos!$D$2:$D$11,MATCH(E428,Produtos!$A$2:$A$11,0))</x:f>
        <x:v>59.9</x:v>
      </x:c>
      <x:c r="I428" s="17" t="n">
        <x:f>G428*H428</x:f>
        <x:v>179.7</x:v>
      </x:c>
      <x:c r="J428" s="14" t="str">
        <x:v>Cartão de crédito</x:v>
      </x:c>
      <x:c r="K428" s="14" t="str">
        <x:v>Entregue</x:v>
      </x:c>
      <x:c r="L428" s="15" t="str">
        <x:f>INDEX(Clientes!$F$2:$F$101,MATCH(C428,Clientes!$A$2:$A$101,0))</x:f>
        <x:v>BA</x:v>
      </x:c>
    </x:row>
    <x:row r="429" ht="20" customHeight="1">
      <x:c r="A429" s="13" t="str">
        <x:v>PED00428</x:v>
      </x:c>
      <x:c r="B429" s="19" t="n">
        <x:v>46192</x:v>
      </x:c>
      <x:c r="C429" s="14" t="str">
        <x:v>CLI0088</x:v>
      </x:c>
      <x:c r="D429" s="14" t="str">
        <x:f>INDEX(Clientes!$B$2:$B$101,MATCH(C429,Clientes!$A$2:$A$101,0))</x:f>
        <x:v>Samuel Rocha Ferreira</x:v>
      </x:c>
      <x:c r="E429" s="14" t="str">
        <x:v>PROD005</x:v>
      </x:c>
      <x:c r="F429" s="14" t="str">
        <x:f>INDEX(Produtos!$B$2:$B$11,MATCH(E429,Produtos!$A$2:$A$11,0))</x:f>
        <x:v>Luminária de Mesa LED</x:v>
      </x:c>
      <x:c r="G429" s="18" t="n">
        <x:v>1</x:v>
      </x:c>
      <x:c r="H429" s="17" t="n">
        <x:f>INDEX(Produtos!$D$2:$D$11,MATCH(E429,Produtos!$A$2:$A$11,0))</x:f>
        <x:v>89.5</x:v>
      </x:c>
      <x:c r="I429" s="17" t="n">
        <x:f>G429*H429</x:f>
        <x:v>89.5</x:v>
      </x:c>
      <x:c r="J429" s="14" t="str">
        <x:v>Boleto</x:v>
      </x:c>
      <x:c r="K429" s="14" t="str">
        <x:v>Processando</x:v>
      </x:c>
      <x:c r="L429" s="15" t="str">
        <x:f>INDEX(Clientes!$F$2:$F$101,MATCH(C429,Clientes!$A$2:$A$101,0))</x:f>
        <x:v>MG</x:v>
      </x:c>
    </x:row>
    <x:row r="430" ht="20" customHeight="1">
      <x:c r="A430" s="13" t="str">
        <x:v>PED00429</x:v>
      </x:c>
      <x:c r="B430" s="19" t="n">
        <x:v>46127</x:v>
      </x:c>
      <x:c r="C430" s="14" t="str">
        <x:v>CLI0090</x:v>
      </x:c>
      <x:c r="D430" s="14" t="str">
        <x:f>INDEX(Clientes!$B$2:$B$101,MATCH(C430,Clientes!$A$2:$A$101,0))</x:f>
        <x:v>Bruno Pereira Silva</x:v>
      </x:c>
      <x:c r="E430" s="14" t="str">
        <x:v>PROD005</x:v>
      </x:c>
      <x:c r="F430" s="14" t="str">
        <x:f>INDEX(Produtos!$B$2:$B$11,MATCH(E430,Produtos!$A$2:$A$11,0))</x:f>
        <x:v>Luminária de Mesa LED</x:v>
      </x:c>
      <x:c r="G430" s="18" t="n">
        <x:v>7</x:v>
      </x:c>
      <x:c r="H430" s="17" t="n">
        <x:f>INDEX(Produtos!$D$2:$D$11,MATCH(E430,Produtos!$A$2:$A$11,0))</x:f>
        <x:v>89.5</x:v>
      </x:c>
      <x:c r="I430" s="17" t="n">
        <x:f>G430*H430</x:f>
        <x:v>626.5</x:v>
      </x:c>
      <x:c r="J430" s="14" t="str">
        <x:v>Cartão de crédito</x:v>
      </x:c>
      <x:c r="K430" s="14" t="str">
        <x:v>Entregue</x:v>
      </x:c>
      <x:c r="L430" s="15" t="str">
        <x:f>INDEX(Clientes!$F$2:$F$101,MATCH(C430,Clientes!$A$2:$A$101,0))</x:f>
        <x:v>BA</x:v>
      </x:c>
    </x:row>
    <x:row r="431" ht="20" customHeight="1">
      <x:c r="A431" s="13" t="str">
        <x:v>PED00430</x:v>
      </x:c>
      <x:c r="B431" s="19" t="n">
        <x:v>46038</x:v>
      </x:c>
      <x:c r="C431" s="14" t="str">
        <x:v>CLI0096</x:v>
      </x:c>
      <x:c r="D431" s="14" t="str">
        <x:f>INDEX(Clientes!$B$2:$B$101,MATCH(C431,Clientes!$A$2:$A$101,0))</x:f>
        <x:v>Bruno Farias Henrique</x:v>
      </x:c>
      <x:c r="E431" s="14" t="str">
        <x:v>PROD009</x:v>
      </x:c>
      <x:c r="F431" s="14" t="str">
        <x:f>INDEX(Produtos!$B$2:$B$11,MATCH(E431,Produtos!$A$2:$A$11,0))</x:f>
        <x:v>Carregador USB-C</x:v>
      </x:c>
      <x:c r="G431" s="18" t="n">
        <x:v>5</x:v>
      </x:c>
      <x:c r="H431" s="17" t="n">
        <x:f>INDEX(Produtos!$D$2:$D$11,MATCH(E431,Produtos!$A$2:$A$11,0))</x:f>
        <x:v>59.9</x:v>
      </x:c>
      <x:c r="I431" s="17" t="n">
        <x:f>G431*H431</x:f>
        <x:v>299.5</x:v>
      </x:c>
      <x:c r="J431" s="14" t="str">
        <x:v>Boleto</x:v>
      </x:c>
      <x:c r="K431" s="14" t="str">
        <x:v>Processando</x:v>
      </x:c>
      <x:c r="L431" s="15" t="str">
        <x:f>INDEX(Clientes!$F$2:$F$101,MATCH(C431,Clientes!$A$2:$A$101,0))</x:f>
        <x:v>MG</x:v>
      </x:c>
    </x:row>
    <x:row r="432" ht="20" customHeight="1">
      <x:c r="A432" s="13" t="str">
        <x:v>PED00431</x:v>
      </x:c>
      <x:c r="B432" s="19" t="n">
        <x:v>46023</x:v>
      </x:c>
      <x:c r="C432" s="14" t="str">
        <x:v>CLI0046</x:v>
      </x:c>
      <x:c r="D432" s="14" t="str">
        <x:f>INDEX(Clientes!$B$2:$B$101,MATCH(C432,Clientes!$A$2:$A$101,0))</x:f>
        <x:v>Gustavo Ibrahim Queiroz</x:v>
      </x:c>
      <x:c r="E432" s="14" t="str">
        <x:v>PROD003</x:v>
      </x:c>
      <x:c r="F432" s="14" t="str">
        <x:f>INDEX(Produtos!$B$2:$B$11,MATCH(E432,Produtos!$A$2:$A$11,0))</x:f>
        <x:v>Fone Bluetooth</x:v>
      </x:c>
      <x:c r="G432" s="18" t="n">
        <x:v>3</x:v>
      </x:c>
      <x:c r="H432" s="17" t="n">
        <x:f>INDEX(Produtos!$D$2:$D$11,MATCH(E432,Produtos!$A$2:$A$11,0))</x:f>
        <x:v>129.9</x:v>
      </x:c>
      <x:c r="I432" s="17" t="n">
        <x:f>G432*H432</x:f>
        <x:v>389.70000000000005</x:v>
      </x:c>
      <x:c r="J432" s="14" t="str">
        <x:v>Cartão de crédito</x:v>
      </x:c>
      <x:c r="K432" s="14" t="str">
        <x:v>Entregue</x:v>
      </x:c>
      <x:c r="L432" s="15" t="str">
        <x:f>INDEX(Clientes!$F$2:$F$101,MATCH(C432,Clientes!$A$2:$A$101,0))</x:f>
        <x:v>SC</x:v>
      </x:c>
    </x:row>
    <x:row r="433" ht="20" customHeight="1">
      <x:c r="A433" s="13" t="str">
        <x:v>PED00432</x:v>
      </x:c>
      <x:c r="B433" s="19" t="n">
        <x:v>46173</x:v>
      </x:c>
      <x:c r="C433" s="14" t="str">
        <x:v>CLI0060</x:v>
      </x:c>
      <x:c r="D433" s="14" t="str">
        <x:f>INDEX(Clientes!$B$2:$B$101,MATCH(C433,Clientes!$A$2:$A$101,0))</x:f>
        <x:v>Vinícius Teixeira Duarte</x:v>
      </x:c>
      <x:c r="E433" s="14" t="str">
        <x:v>PROD009</x:v>
      </x:c>
      <x:c r="F433" s="14" t="str">
        <x:f>INDEX(Produtos!$B$2:$B$11,MATCH(E433,Produtos!$A$2:$A$11,0))</x:f>
        <x:v>Carregador USB-C</x:v>
      </x:c>
      <x:c r="G433" s="18" t="n">
        <x:v>1</x:v>
      </x:c>
      <x:c r="H433" s="17" t="n">
        <x:f>INDEX(Produtos!$D$2:$D$11,MATCH(E433,Produtos!$A$2:$A$11,0))</x:f>
        <x:v>59.9</x:v>
      </x:c>
      <x:c r="I433" s="17" t="n">
        <x:f>G433*H433</x:f>
        <x:v>59.9</x:v>
      </x:c>
      <x:c r="J433" s="14" t="str">
        <x:v>Boleto</x:v>
      </x:c>
      <x:c r="K433" s="14" t="str">
        <x:v>Processando</x:v>
      </x:c>
      <x:c r="L433" s="15" t="str">
        <x:f>INDEX(Clientes!$F$2:$F$101,MATCH(C433,Clientes!$A$2:$A$101,0))</x:f>
        <x:v>MG</x:v>
      </x:c>
    </x:row>
    <x:row r="434" ht="20" customHeight="1">
      <x:c r="A434" s="13" t="str">
        <x:v>PED00433</x:v>
      </x:c>
      <x:c r="B434" s="19" t="n">
        <x:v>46127</x:v>
      </x:c>
      <x:c r="C434" s="14" t="str">
        <x:v>CLI0082</x:v>
      </x:c>
      <x:c r="D434" s="14" t="str">
        <x:f>INDEX(Clientes!$B$2:$B$101,MATCH(C434,Clientes!$A$2:$A$101,0))</x:f>
        <x:v>Bruno Esteves Barbosa</x:v>
      </x:c>
      <x:c r="E434" s="14" t="str">
        <x:v>PROD003</x:v>
      </x:c>
      <x:c r="F434" s="14" t="str">
        <x:f>INDEX(Produtos!$B$2:$B$11,MATCH(E434,Produtos!$A$2:$A$11,0))</x:f>
        <x:v>Fone Bluetooth</x:v>
      </x:c>
      <x:c r="G434" s="18" t="n">
        <x:v>7</x:v>
      </x:c>
      <x:c r="H434" s="17" t="n">
        <x:f>INDEX(Produtos!$D$2:$D$11,MATCH(E434,Produtos!$A$2:$A$11,0))</x:f>
        <x:v>129.9</x:v>
      </x:c>
      <x:c r="I434" s="17" t="n">
        <x:f>G434*H434</x:f>
        <x:v>909.3000000000001</x:v>
      </x:c>
      <x:c r="J434" s="14" t="str">
        <x:v>Cartão de crédito</x:v>
      </x:c>
      <x:c r="K434" s="14" t="str">
        <x:v>Entregue</x:v>
      </x:c>
      <x:c r="L434" s="15" t="str">
        <x:f>INDEX(Clientes!$F$2:$F$101,MATCH(C434,Clientes!$A$2:$A$101,0))</x:f>
        <x:v>SC</x:v>
      </x:c>
    </x:row>
    <x:row r="435" ht="20" customHeight="1">
      <x:c r="A435" s="13" t="str">
        <x:v>PED00434</x:v>
      </x:c>
      <x:c r="B435" s="19" t="n">
        <x:v>46058</x:v>
      </x:c>
      <x:c r="C435" s="14" t="str">
        <x:v>CLI0020</x:v>
      </x:c>
      <x:c r="D435" s="14" t="str">
        <x:f>INDEX(Clientes!$B$2:$B$101,MATCH(C435,Clientes!$A$2:$A$101,0))</x:f>
        <x:v>João Esteves Garcia</x:v>
      </x:c>
      <x:c r="E435" s="14" t="str">
        <x:v>PROD009</x:v>
      </x:c>
      <x:c r="F435" s="14" t="str">
        <x:f>INDEX(Produtos!$B$2:$B$11,MATCH(E435,Produtos!$A$2:$A$11,0))</x:f>
        <x:v>Carregador USB-C</x:v>
      </x:c>
      <x:c r="G435" s="18" t="n">
        <x:v>5</x:v>
      </x:c>
      <x:c r="H435" s="17" t="n">
        <x:f>INDEX(Produtos!$D$2:$D$11,MATCH(E435,Produtos!$A$2:$A$11,0))</x:f>
        <x:v>59.9</x:v>
      </x:c>
      <x:c r="I435" s="17" t="n">
        <x:f>G435*H435</x:f>
        <x:v>299.5</x:v>
      </x:c>
      <x:c r="J435" s="14" t="str">
        <x:v>Boleto</x:v>
      </x:c>
      <x:c r="K435" s="14" t="str">
        <x:v>Processando</x:v>
      </x:c>
      <x:c r="L435" s="15" t="str">
        <x:f>INDEX(Clientes!$F$2:$F$101,MATCH(C435,Clientes!$A$2:$A$101,0))</x:f>
        <x:v>MG</x:v>
      </x:c>
    </x:row>
    <x:row r="436" ht="20" customHeight="1">
      <x:c r="A436" s="13" t="str">
        <x:v>PED00435</x:v>
      </x:c>
      <x:c r="B436" s="19" t="n">
        <x:v>46253</x:v>
      </x:c>
      <x:c r="C436" s="14" t="str">
        <x:v>CLI0082</x:v>
      </x:c>
      <x:c r="D436" s="14" t="str">
        <x:f>INDEX(Clientes!$B$2:$B$101,MATCH(C436,Clientes!$A$2:$A$101,0))</x:f>
        <x:v>Bruno Esteves Barbosa</x:v>
      </x:c>
      <x:c r="E436" s="14" t="str">
        <x:v>PROD005</x:v>
      </x:c>
      <x:c r="F436" s="14" t="str">
        <x:f>INDEX(Produtos!$B$2:$B$11,MATCH(E436,Produtos!$A$2:$A$11,0))</x:f>
        <x:v>Luminária de Mesa LED</x:v>
      </x:c>
      <x:c r="G436" s="18" t="n">
        <x:v>3</x:v>
      </x:c>
      <x:c r="H436" s="17" t="n">
        <x:f>INDEX(Produtos!$D$2:$D$11,MATCH(E436,Produtos!$A$2:$A$11,0))</x:f>
        <x:v>89.5</x:v>
      </x:c>
      <x:c r="I436" s="17" t="n">
        <x:f>G436*H436</x:f>
        <x:v>268.5</x:v>
      </x:c>
      <x:c r="J436" s="14" t="str">
        <x:v>Cartão de crédito</x:v>
      </x:c>
      <x:c r="K436" s="14" t="str">
        <x:v>Entregue</x:v>
      </x:c>
      <x:c r="L436" s="15" t="str">
        <x:f>INDEX(Clientes!$F$2:$F$101,MATCH(C436,Clientes!$A$2:$A$101,0))</x:f>
        <x:v>SC</x:v>
      </x:c>
    </x:row>
    <x:row r="437" ht="20" customHeight="1">
      <x:c r="A437" s="13" t="str">
        <x:v>PED00436</x:v>
      </x:c>
      <x:c r="B437" s="19" t="n">
        <x:v>46231</x:v>
      </x:c>
      <x:c r="C437" s="14" t="str">
        <x:v>CLI0100</x:v>
      </x:c>
      <x:c r="D437" s="14" t="str">
        <x:f>INDEX(Clientes!$B$2:$B$101,MATCH(C437,Clientes!$A$2:$A$101,0))</x:f>
        <x:v>Igor Ramos Silva</x:v>
      </x:c>
      <x:c r="E437" s="14" t="str">
        <x:v>PROD007</x:v>
      </x:c>
      <x:c r="F437" s="14" t="str">
        <x:f>INDEX(Produtos!$B$2:$B$11,MATCH(E437,Produtos!$A$2:$A$11,0))</x:f>
        <x:v>Caneca Cerâmica</x:v>
      </x:c>
      <x:c r="G437" s="18" t="n">
        <x:v>1</x:v>
      </x:c>
      <x:c r="H437" s="17" t="n">
        <x:f>INDEX(Produtos!$D$2:$D$11,MATCH(E437,Produtos!$A$2:$A$11,0))</x:f>
        <x:v>32</x:v>
      </x:c>
      <x:c r="I437" s="17" t="n">
        <x:f>G437*H437</x:f>
        <x:v>32</x:v>
      </x:c>
      <x:c r="J437" s="14" t="str">
        <x:v>Boleto</x:v>
      </x:c>
      <x:c r="K437" s="14" t="str">
        <x:v>Processando</x:v>
      </x:c>
      <x:c r="L437" s="15" t="str">
        <x:f>INDEX(Clientes!$F$2:$F$101,MATCH(C437,Clientes!$A$2:$A$101,0))</x:f>
        <x:v>SP</x:v>
      </x:c>
    </x:row>
    <x:row r="438" ht="20" customHeight="1">
      <x:c r="A438" s="13" t="str">
        <x:v>PED00437</x:v>
      </x:c>
      <x:c r="B438" s="19" t="n">
        <x:v>46223</x:v>
      </x:c>
      <x:c r="C438" s="14" t="str">
        <x:v>CLI0066</x:v>
      </x:c>
      <x:c r="D438" s="14" t="str">
        <x:f>INDEX(Clientes!$B$2:$B$101,MATCH(C438,Clientes!$A$2:$A$101,0))</x:f>
        <x:v>Enzo Farias Barbosa</x:v>
      </x:c>
      <x:c r="E438" s="14" t="str">
        <x:v>PROD009</x:v>
      </x:c>
      <x:c r="F438" s="14" t="str">
        <x:f>INDEX(Produtos!$B$2:$B$11,MATCH(E438,Produtos!$A$2:$A$11,0))</x:f>
        <x:v>Carregador USB-C</x:v>
      </x:c>
      <x:c r="G438" s="18" t="n">
        <x:v>7</x:v>
      </x:c>
      <x:c r="H438" s="17" t="n">
        <x:f>INDEX(Produtos!$D$2:$D$11,MATCH(E438,Produtos!$A$2:$A$11,0))</x:f>
        <x:v>59.9</x:v>
      </x:c>
      <x:c r="I438" s="17" t="n">
        <x:f>G438*H438</x:f>
        <x:v>419.3</x:v>
      </x:c>
      <x:c r="J438" s="14" t="str">
        <x:v>Cartão de crédito</x:v>
      </x:c>
      <x:c r="K438" s="14" t="str">
        <x:v>Entregue</x:v>
      </x:c>
      <x:c r="L438" s="15" t="str">
        <x:f>INDEX(Clientes!$F$2:$F$101,MATCH(C438,Clientes!$A$2:$A$101,0))</x:f>
        <x:v>SC</x:v>
      </x:c>
    </x:row>
    <x:row r="439" ht="20" customHeight="1">
      <x:c r="A439" s="13" t="str">
        <x:v>PED00438</x:v>
      </x:c>
      <x:c r="B439" s="19" t="n">
        <x:v>46186</x:v>
      </x:c>
      <x:c r="C439" s="14" t="str">
        <x:v>CLI0016</x:v>
      </x:c>
      <x:c r="D439" s="14" t="str">
        <x:f>INDEX(Clientes!$B$2:$B$101,MATCH(C439,Clientes!$A$2:$A$101,0))</x:f>
        <x:v>Lucas Costa Junqueira</x:v>
      </x:c>
      <x:c r="E439" s="14" t="str">
        <x:v>PROD007</x:v>
      </x:c>
      <x:c r="F439" s="14" t="str">
        <x:f>INDEX(Produtos!$B$2:$B$11,MATCH(E439,Produtos!$A$2:$A$11,0))</x:f>
        <x:v>Caneca Cerâmica</x:v>
      </x:c>
      <x:c r="G439" s="18" t="n">
        <x:v>5</x:v>
      </x:c>
      <x:c r="H439" s="17" t="n">
        <x:f>INDEX(Produtos!$D$2:$D$11,MATCH(E439,Produtos!$A$2:$A$11,0))</x:f>
        <x:v>32</x:v>
      </x:c>
      <x:c r="I439" s="17" t="n">
        <x:f>G439*H439</x:f>
        <x:v>160</x:v>
      </x:c>
      <x:c r="J439" s="14" t="str">
        <x:v>Boleto</x:v>
      </x:c>
      <x:c r="K439" s="14" t="str">
        <x:v>Processando</x:v>
      </x:c>
      <x:c r="L439" s="15" t="str">
        <x:f>INDEX(Clientes!$F$2:$F$101,MATCH(C439,Clientes!$A$2:$A$101,0))</x:f>
        <x:v>MG</x:v>
      </x:c>
    </x:row>
    <x:row r="440" ht="20" customHeight="1">
      <x:c r="A440" s="13" t="str">
        <x:v>PED00439</x:v>
      </x:c>
      <x:c r="B440" s="19" t="n">
        <x:v>46046</x:v>
      </x:c>
      <x:c r="C440" s="14" t="str">
        <x:v>CLI0066</x:v>
      </x:c>
      <x:c r="D440" s="14" t="str">
        <x:f>INDEX(Clientes!$B$2:$B$101,MATCH(C440,Clientes!$A$2:$A$101,0))</x:f>
        <x:v>Enzo Farias Barbosa</x:v>
      </x:c>
      <x:c r="E440" s="14" t="str">
        <x:v>PROD009</x:v>
      </x:c>
      <x:c r="F440" s="14" t="str">
        <x:f>INDEX(Produtos!$B$2:$B$11,MATCH(E440,Produtos!$A$2:$A$11,0))</x:f>
        <x:v>Carregador USB-C</x:v>
      </x:c>
      <x:c r="G440" s="18" t="n">
        <x:v>3</x:v>
      </x:c>
      <x:c r="H440" s="17" t="n">
        <x:f>INDEX(Produtos!$D$2:$D$11,MATCH(E440,Produtos!$A$2:$A$11,0))</x:f>
        <x:v>59.9</x:v>
      </x:c>
      <x:c r="I440" s="17" t="n">
        <x:f>G440*H440</x:f>
        <x:v>179.7</x:v>
      </x:c>
      <x:c r="J440" s="14" t="str">
        <x:v>Cartão de crédito</x:v>
      </x:c>
      <x:c r="K440" s="14" t="str">
        <x:v>Entregue</x:v>
      </x:c>
      <x:c r="L440" s="15" t="str">
        <x:f>INDEX(Clientes!$F$2:$F$101,MATCH(C440,Clientes!$A$2:$A$101,0))</x:f>
        <x:v>SC</x:v>
      </x:c>
    </x:row>
    <x:row r="441" ht="20" customHeight="1">
      <x:c r="A441" s="13" t="str">
        <x:v>PED00440</x:v>
      </x:c>
      <x:c r="B441" s="19" t="n">
        <x:v>46092</x:v>
      </x:c>
      <x:c r="C441" s="14" t="str">
        <x:v>CLI0076</x:v>
      </x:c>
      <x:c r="D441" s="14" t="str">
        <x:f>INDEX(Clientes!$B$2:$B$101,MATCH(C441,Clientes!$A$2:$A$101,0))</x:f>
        <x:v>Vinícius Farias Machado</x:v>
      </x:c>
      <x:c r="E441" s="14" t="str">
        <x:v>PROD009</x:v>
      </x:c>
      <x:c r="F441" s="14" t="str">
        <x:f>INDEX(Produtos!$B$2:$B$11,MATCH(E441,Produtos!$A$2:$A$11,0))</x:f>
        <x:v>Carregador USB-C</x:v>
      </x:c>
      <x:c r="G441" s="18" t="n">
        <x:v>1</x:v>
      </x:c>
      <x:c r="H441" s="17" t="n">
        <x:f>INDEX(Produtos!$D$2:$D$11,MATCH(E441,Produtos!$A$2:$A$11,0))</x:f>
        <x:v>59.9</x:v>
      </x:c>
      <x:c r="I441" s="17" t="n">
        <x:f>G441*H441</x:f>
        <x:v>59.9</x:v>
      </x:c>
      <x:c r="J441" s="14" t="str">
        <x:v>Boleto</x:v>
      </x:c>
      <x:c r="K441" s="14" t="str">
        <x:v>Processando</x:v>
      </x:c>
      <x:c r="L441" s="15" t="str">
        <x:f>INDEX(Clientes!$F$2:$F$101,MATCH(C441,Clientes!$A$2:$A$101,0))</x:f>
        <x:v>BA</x:v>
      </x:c>
    </x:row>
    <x:row r="442" ht="20" customHeight="1">
      <x:c r="A442" s="13" t="str">
        <x:v>PED00441</x:v>
      </x:c>
      <x:c r="B442" s="19" t="n">
        <x:v>46248</x:v>
      </x:c>
      <x:c r="C442" s="14" t="str">
        <x:v>CLI0038</x:v>
      </x:c>
      <x:c r="D442" s="14" t="str">
        <x:f>INDEX(Clientes!$B$2:$B$101,MATCH(C442,Clientes!$A$2:$A$101,0))</x:f>
        <x:v>Pedro Ramos Junqueira</x:v>
      </x:c>
      <x:c r="E442" s="14" t="str">
        <x:v>PROD003</x:v>
      </x:c>
      <x:c r="F442" s="14" t="str">
        <x:f>INDEX(Produtos!$B$2:$B$11,MATCH(E442,Produtos!$A$2:$A$11,0))</x:f>
        <x:v>Fone Bluetooth</x:v>
      </x:c>
      <x:c r="G442" s="18" t="n">
        <x:v>7</x:v>
      </x:c>
      <x:c r="H442" s="17" t="n">
        <x:f>INDEX(Produtos!$D$2:$D$11,MATCH(E442,Produtos!$A$2:$A$11,0))</x:f>
        <x:v>129.9</x:v>
      </x:c>
      <x:c r="I442" s="17" t="n">
        <x:f>G442*H442</x:f>
        <x:v>909.3000000000001</x:v>
      </x:c>
      <x:c r="J442" s="14" t="str">
        <x:v>Cartão de crédito</x:v>
      </x:c>
      <x:c r="K442" s="14" t="str">
        <x:v>Entregue</x:v>
      </x:c>
      <x:c r="L442" s="15" t="str">
        <x:f>INDEX(Clientes!$F$2:$F$101,MATCH(C442,Clientes!$A$2:$A$101,0))</x:f>
        <x:v>SC</x:v>
      </x:c>
    </x:row>
    <x:row r="443" ht="20" customHeight="1">
      <x:c r="A443" s="13" t="str">
        <x:v>PED00442</x:v>
      </x:c>
      <x:c r="B443" s="19" t="n">
        <x:v>46254</x:v>
      </x:c>
      <x:c r="C443" s="14" t="str">
        <x:v>CLI0100</x:v>
      </x:c>
      <x:c r="D443" s="14" t="str">
        <x:f>INDEX(Clientes!$B$2:$B$101,MATCH(C443,Clientes!$A$2:$A$101,0))</x:f>
        <x:v>Igor Ramos Silva</x:v>
      </x:c>
      <x:c r="E443" s="14" t="str">
        <x:v>PROD001</x:v>
      </x:c>
      <x:c r="F443" s="14" t="str">
        <x:f>INDEX(Produtos!$B$2:$B$11,MATCH(E443,Produtos!$A$2:$A$11,0))</x:f>
        <x:v>Caderno Universitário</x:v>
      </x:c>
      <x:c r="G443" s="18" t="n">
        <x:v>5</x:v>
      </x:c>
      <x:c r="H443" s="17" t="n">
        <x:f>INDEX(Produtos!$D$2:$D$11,MATCH(E443,Produtos!$A$2:$A$11,0))</x:f>
        <x:v>24.9</x:v>
      </x:c>
      <x:c r="I443" s="17" t="n">
        <x:f>G443*H443</x:f>
        <x:v>124.5</x:v>
      </x:c>
      <x:c r="J443" s="14" t="str">
        <x:v>Boleto</x:v>
      </x:c>
      <x:c r="K443" s="14" t="str">
        <x:v>Processando</x:v>
      </x:c>
      <x:c r="L443" s="15" t="str">
        <x:f>INDEX(Clientes!$F$2:$F$101,MATCH(C443,Clientes!$A$2:$A$101,0))</x:f>
        <x:v>SP</x:v>
      </x:c>
    </x:row>
    <x:row r="444" ht="20" customHeight="1">
      <x:c r="A444" s="13" t="str">
        <x:v>PED00443</x:v>
      </x:c>
      <x:c r="B444" s="19" t="n">
        <x:v>46067</x:v>
      </x:c>
      <x:c r="C444" s="14" t="str">
        <x:v>CLI0046</x:v>
      </x:c>
      <x:c r="D444" s="14" t="str">
        <x:f>INDEX(Clientes!$B$2:$B$101,MATCH(C444,Clientes!$A$2:$A$101,0))</x:f>
        <x:v>Gustavo Ibrahim Queiroz</x:v>
      </x:c>
      <x:c r="E444" s="14" t="str">
        <x:v>PROD007</x:v>
      </x:c>
      <x:c r="F444" s="14" t="str">
        <x:f>INDEX(Produtos!$B$2:$B$11,MATCH(E444,Produtos!$A$2:$A$11,0))</x:f>
        <x:v>Caneca Cerâmica</x:v>
      </x:c>
      <x:c r="G444" s="18" t="n">
        <x:v>3</x:v>
      </x:c>
      <x:c r="H444" s="17" t="n">
        <x:f>INDEX(Produtos!$D$2:$D$11,MATCH(E444,Produtos!$A$2:$A$11,0))</x:f>
        <x:v>32</x:v>
      </x:c>
      <x:c r="I444" s="17" t="n">
        <x:f>G444*H444</x:f>
        <x:v>96</x:v>
      </x:c>
      <x:c r="J444" s="14" t="str">
        <x:v>Cartão de crédito</x:v>
      </x:c>
      <x:c r="K444" s="14" t="str">
        <x:v>Entregue</x:v>
      </x:c>
      <x:c r="L444" s="15" t="str">
        <x:f>INDEX(Clientes!$F$2:$F$101,MATCH(C444,Clientes!$A$2:$A$101,0))</x:f>
        <x:v>SC</x:v>
      </x:c>
    </x:row>
    <x:row r="445" ht="20" customHeight="1">
      <x:c r="A445" s="13" t="str">
        <x:v>PED00444</x:v>
      </x:c>
      <x:c r="B445" s="19" t="n">
        <x:v>46146</x:v>
      </x:c>
      <x:c r="C445" s="14" t="str">
        <x:v>CLI0044</x:v>
      </x:c>
      <x:c r="D445" s="14" t="str">
        <x:f>INDEX(Clientes!$B$2:$B$101,MATCH(C445,Clientes!$A$2:$A$101,0))</x:f>
        <x:v>Igor Rocha Garcia</x:v>
      </x:c>
      <x:c r="E445" s="14" t="str">
        <x:v>PROD009</x:v>
      </x:c>
      <x:c r="F445" s="14" t="str">
        <x:f>INDEX(Produtos!$B$2:$B$11,MATCH(E445,Produtos!$A$2:$A$11,0))</x:f>
        <x:v>Carregador USB-C</x:v>
      </x:c>
      <x:c r="G445" s="18" t="n">
        <x:v>1</x:v>
      </x:c>
      <x:c r="H445" s="17" t="n">
        <x:f>INDEX(Produtos!$D$2:$D$11,MATCH(E445,Produtos!$A$2:$A$11,0))</x:f>
        <x:v>59.9</x:v>
      </x:c>
      <x:c r="I445" s="17" t="n">
        <x:f>G445*H445</x:f>
        <x:v>59.9</x:v>
      </x:c>
      <x:c r="J445" s="14" t="str">
        <x:v>Boleto</x:v>
      </x:c>
      <x:c r="K445" s="14" t="str">
        <x:v>Processando</x:v>
      </x:c>
      <x:c r="L445" s="15" t="str">
        <x:f>INDEX(Clientes!$F$2:$F$101,MATCH(C445,Clientes!$A$2:$A$101,0))</x:f>
        <x:v>SC</x:v>
      </x:c>
    </x:row>
    <x:row r="446" ht="20" customHeight="1">
      <x:c r="A446" s="13" t="str">
        <x:v>PED00445</x:v>
      </x:c>
      <x:c r="B446" s="19" t="n">
        <x:v>46110</x:v>
      </x:c>
      <x:c r="C446" s="14" t="str">
        <x:v>CLI0086</x:v>
      </x:c>
      <x:c r="D446" s="14" t="str">
        <x:f>INDEX(Clientes!$B$2:$B$101,MATCH(C446,Clientes!$A$2:$A$101,0))</x:f>
        <x:v>Pedro Lopes Henrique</x:v>
      </x:c>
      <x:c r="E446" s="14" t="str">
        <x:v>PROD009</x:v>
      </x:c>
      <x:c r="F446" s="14" t="str">
        <x:f>INDEX(Produtos!$B$2:$B$11,MATCH(E446,Produtos!$A$2:$A$11,0))</x:f>
        <x:v>Carregador USB-C</x:v>
      </x:c>
      <x:c r="G446" s="18" t="n">
        <x:v>7</x:v>
      </x:c>
      <x:c r="H446" s="17" t="n">
        <x:f>INDEX(Produtos!$D$2:$D$11,MATCH(E446,Produtos!$A$2:$A$11,0))</x:f>
        <x:v>59.9</x:v>
      </x:c>
      <x:c r="I446" s="17" t="n">
        <x:f>G446*H446</x:f>
        <x:v>419.3</x:v>
      </x:c>
      <x:c r="J446" s="14" t="str">
        <x:v>Cartão de crédito</x:v>
      </x:c>
      <x:c r="K446" s="14" t="str">
        <x:v>Entregue</x:v>
      </x:c>
      <x:c r="L446" s="15" t="str">
        <x:f>INDEX(Clientes!$F$2:$F$101,MATCH(C446,Clientes!$A$2:$A$101,0))</x:f>
        <x:v>PR</x:v>
      </x:c>
    </x:row>
    <x:row r="447" ht="20" customHeight="1">
      <x:c r="A447" s="13" t="str">
        <x:v>PED00446</x:v>
      </x:c>
      <x:c r="B447" s="19" t="n">
        <x:v>46210</x:v>
      </x:c>
      <x:c r="C447" s="14" t="str">
        <x:v>CLI0100</x:v>
      </x:c>
      <x:c r="D447" s="14" t="str">
        <x:f>INDEX(Clientes!$B$2:$B$101,MATCH(C447,Clientes!$A$2:$A$101,0))</x:f>
        <x:v>Igor Ramos Silva</x:v>
      </x:c>
      <x:c r="E447" s="14" t="str">
        <x:v>PROD001</x:v>
      </x:c>
      <x:c r="F447" s="14" t="str">
        <x:f>INDEX(Produtos!$B$2:$B$11,MATCH(E447,Produtos!$A$2:$A$11,0))</x:f>
        <x:v>Caderno Universitário</x:v>
      </x:c>
      <x:c r="G447" s="18" t="n">
        <x:v>5</x:v>
      </x:c>
      <x:c r="H447" s="17" t="n">
        <x:f>INDEX(Produtos!$D$2:$D$11,MATCH(E447,Produtos!$A$2:$A$11,0))</x:f>
        <x:v>24.9</x:v>
      </x:c>
      <x:c r="I447" s="17" t="n">
        <x:f>G447*H447</x:f>
        <x:v>124.5</x:v>
      </x:c>
      <x:c r="J447" s="14" t="str">
        <x:v>Boleto</x:v>
      </x:c>
      <x:c r="K447" s="14" t="str">
        <x:v>Processando</x:v>
      </x:c>
      <x:c r="L447" s="15" t="str">
        <x:f>INDEX(Clientes!$F$2:$F$101,MATCH(C447,Clientes!$A$2:$A$101,0))</x:f>
        <x:v>SP</x:v>
      </x:c>
    </x:row>
    <x:row r="448" ht="20" customHeight="1">
      <x:c r="A448" s="13" t="str">
        <x:v>PED00447</x:v>
      </x:c>
      <x:c r="B448" s="19" t="n">
        <x:v>46096</x:v>
      </x:c>
      <x:c r="C448" s="14" t="str">
        <x:v>CLI0066</x:v>
      </x:c>
      <x:c r="D448" s="14" t="str">
        <x:f>INDEX(Clientes!$B$2:$B$101,MATCH(C448,Clientes!$A$2:$A$101,0))</x:f>
        <x:v>Enzo Farias Barbosa</x:v>
      </x:c>
      <x:c r="E448" s="14" t="str">
        <x:v>PROD003</x:v>
      </x:c>
      <x:c r="F448" s="14" t="str">
        <x:f>INDEX(Produtos!$B$2:$B$11,MATCH(E448,Produtos!$A$2:$A$11,0))</x:f>
        <x:v>Fone Bluetooth</x:v>
      </x:c>
      <x:c r="G448" s="18" t="n">
        <x:v>3</x:v>
      </x:c>
      <x:c r="H448" s="17" t="n">
        <x:f>INDEX(Produtos!$D$2:$D$11,MATCH(E448,Produtos!$A$2:$A$11,0))</x:f>
        <x:v>129.9</x:v>
      </x:c>
      <x:c r="I448" s="17" t="n">
        <x:f>G448*H448</x:f>
        <x:v>389.70000000000005</x:v>
      </x:c>
      <x:c r="J448" s="14" t="str">
        <x:v>Cartão de crédito</x:v>
      </x:c>
      <x:c r="K448" s="14" t="str">
        <x:v>Entregue</x:v>
      </x:c>
      <x:c r="L448" s="15" t="str">
        <x:f>INDEX(Clientes!$F$2:$F$101,MATCH(C448,Clientes!$A$2:$A$101,0))</x:f>
        <x:v>SC</x:v>
      </x:c>
    </x:row>
    <x:row r="449" ht="20" customHeight="1">
      <x:c r="A449" s="13" t="str">
        <x:v>PED00448</x:v>
      </x:c>
      <x:c r="B449" s="19" t="n">
        <x:v>46086</x:v>
      </x:c>
      <x:c r="C449" s="14" t="str">
        <x:v>CLI0080</x:v>
      </x:c>
      <x:c r="D449" s="14" t="str">
        <x:f>INDEX(Clientes!$B$2:$B$101,MATCH(C449,Clientes!$A$2:$A$101,0))</x:f>
        <x:v>Caio Nascimento Vargas</x:v>
      </x:c>
      <x:c r="E449" s="14" t="str">
        <x:v>PROD007</x:v>
      </x:c>
      <x:c r="F449" s="14" t="str">
        <x:f>INDEX(Produtos!$B$2:$B$11,MATCH(E449,Produtos!$A$2:$A$11,0))</x:f>
        <x:v>Caneca Cerâmica</x:v>
      </x:c>
      <x:c r="G449" s="18" t="n">
        <x:v>1</x:v>
      </x:c>
      <x:c r="H449" s="17" t="n">
        <x:f>INDEX(Produtos!$D$2:$D$11,MATCH(E449,Produtos!$A$2:$A$11,0))</x:f>
        <x:v>32</x:v>
      </x:c>
      <x:c r="I449" s="17" t="n">
        <x:f>G449*H449</x:f>
        <x:v>32</x:v>
      </x:c>
      <x:c r="J449" s="14" t="str">
        <x:v>Boleto</x:v>
      </x:c>
      <x:c r="K449" s="14" t="str">
        <x:v>Processando</x:v>
      </x:c>
      <x:c r="L449" s="15" t="str">
        <x:f>INDEX(Clientes!$F$2:$F$101,MATCH(C449,Clientes!$A$2:$A$101,0))</x:f>
        <x:v>SC</x:v>
      </x:c>
    </x:row>
    <x:row r="450" ht="20" customHeight="1">
      <x:c r="A450" s="13" t="str">
        <x:v>PED00449</x:v>
      </x:c>
      <x:c r="B450" s="19" t="n">
        <x:v>46049</x:v>
      </x:c>
      <x:c r="C450" s="14" t="str">
        <x:v>CLI0066</x:v>
      </x:c>
      <x:c r="D450" s="14" t="str">
        <x:f>INDEX(Clientes!$B$2:$B$101,MATCH(C450,Clientes!$A$2:$A$101,0))</x:f>
        <x:v>Enzo Farias Barbosa</x:v>
      </x:c>
      <x:c r="E450" s="14" t="str">
        <x:v>PROD001</x:v>
      </x:c>
      <x:c r="F450" s="14" t="str">
        <x:f>INDEX(Produtos!$B$2:$B$11,MATCH(E450,Produtos!$A$2:$A$11,0))</x:f>
        <x:v>Caderno Universitário</x:v>
      </x:c>
      <x:c r="G450" s="18" t="n">
        <x:v>7</x:v>
      </x:c>
      <x:c r="H450" s="17" t="n">
        <x:f>INDEX(Produtos!$D$2:$D$11,MATCH(E450,Produtos!$A$2:$A$11,0))</x:f>
        <x:v>24.9</x:v>
      </x:c>
      <x:c r="I450" s="17" t="n">
        <x:f>G450*H450</x:f>
        <x:v>174.29999999999998</x:v>
      </x:c>
      <x:c r="J450" s="14" t="str">
        <x:v>Cartão de crédito</x:v>
      </x:c>
      <x:c r="K450" s="14" t="str">
        <x:v>Entregue</x:v>
      </x:c>
      <x:c r="L450" s="15" t="str">
        <x:f>INDEX(Clientes!$F$2:$F$101,MATCH(C450,Clientes!$A$2:$A$101,0))</x:f>
        <x:v>SC</x:v>
      </x:c>
    </x:row>
    <x:row r="451" ht="20" customHeight="1">
      <x:c r="A451" s="13" t="str">
        <x:v>PED00450</x:v>
      </x:c>
      <x:c r="B451" s="19" t="n">
        <x:v>46109</x:v>
      </x:c>
      <x:c r="C451" s="14" t="str">
        <x:v>CLI0012</x:v>
      </x:c>
      <x:c r="D451" s="14" t="str">
        <x:f>INDEX(Clientes!$B$2:$B$101,MATCH(C451,Clientes!$A$2:$A$101,0))</x:f>
        <x:v>Pedro Ramos Junqueira</x:v>
      </x:c>
      <x:c r="E451" s="14" t="str">
        <x:v>PROD003</x:v>
      </x:c>
      <x:c r="F451" s="14" t="str">
        <x:f>INDEX(Produtos!$B$2:$B$11,MATCH(E451,Produtos!$A$2:$A$11,0))</x:f>
        <x:v>Fone Bluetooth</x:v>
      </x:c>
      <x:c r="G451" s="18" t="n">
        <x:v>5</x:v>
      </x:c>
      <x:c r="H451" s="17" t="n">
        <x:f>INDEX(Produtos!$D$2:$D$11,MATCH(E451,Produtos!$A$2:$A$11,0))</x:f>
        <x:v>129.9</x:v>
      </x:c>
      <x:c r="I451" s="17" t="n">
        <x:f>G451*H451</x:f>
        <x:v>649.5</x:v>
      </x:c>
      <x:c r="J451" s="14" t="str">
        <x:v>Boleto</x:v>
      </x:c>
      <x:c r="K451" s="14" t="str">
        <x:v>Processando</x:v>
      </x:c>
      <x:c r="L451" s="15" t="str">
        <x:f>INDEX(Clientes!$F$2:$F$101,MATCH(C451,Clientes!$A$2:$A$101,0))</x:f>
        <x:v>SC</x:v>
      </x:c>
    </x:row>
    <x:row r="452" ht="20" customHeight="1">
      <x:c r="A452" s="13" t="str">
        <x:v>PED00451</x:v>
      </x:c>
      <x:c r="B452" s="19" t="n">
        <x:v>46231</x:v>
      </x:c>
      <x:c r="C452" s="14" t="str">
        <x:v>CLI0050</x:v>
      </x:c>
      <x:c r="D452" s="14" t="str">
        <x:f>INDEX(Clientes!$B$2:$B$101,MATCH(C452,Clientes!$A$2:$A$101,0))</x:f>
        <x:v>Pedro Ramos Dias</x:v>
      </x:c>
      <x:c r="E452" s="14" t="str">
        <x:v>PROD001</x:v>
      </x:c>
      <x:c r="F452" s="14" t="str">
        <x:f>INDEX(Produtos!$B$2:$B$11,MATCH(E452,Produtos!$A$2:$A$11,0))</x:f>
        <x:v>Caderno Universitário</x:v>
      </x:c>
      <x:c r="G452" s="18" t="n">
        <x:v>3</x:v>
      </x:c>
      <x:c r="H452" s="17" t="n">
        <x:f>INDEX(Produtos!$D$2:$D$11,MATCH(E452,Produtos!$A$2:$A$11,0))</x:f>
        <x:v>24.9</x:v>
      </x:c>
      <x:c r="I452" s="17" t="n">
        <x:f>G452*H452</x:f>
        <x:v>74.69999999999999</x:v>
      </x:c>
      <x:c r="J452" s="14" t="str">
        <x:v>Cartão de crédito</x:v>
      </x:c>
      <x:c r="K452" s="14" t="str">
        <x:v>Entregue</x:v>
      </x:c>
      <x:c r="L452" s="15" t="str">
        <x:f>INDEX(Clientes!$F$2:$F$101,MATCH(C452,Clientes!$A$2:$A$101,0))</x:f>
        <x:v>SC</x:v>
      </x:c>
    </x:row>
    <x:row r="453" ht="20" customHeight="1">
      <x:c r="A453" s="13" t="str">
        <x:v>PED00452</x:v>
      </x:c>
      <x:c r="B453" s="19" t="n">
        <x:v>46055</x:v>
      </x:c>
      <x:c r="C453" s="14" t="str">
        <x:v>CLI0020</x:v>
      </x:c>
      <x:c r="D453" s="14" t="str">
        <x:f>INDEX(Clientes!$B$2:$B$101,MATCH(C453,Clientes!$A$2:$A$101,0))</x:f>
        <x:v>João Esteves Garcia</x:v>
      </x:c>
      <x:c r="E453" s="14" t="str">
        <x:v>PROD003</x:v>
      </x:c>
      <x:c r="F453" s="14" t="str">
        <x:f>INDEX(Produtos!$B$2:$B$11,MATCH(E453,Produtos!$A$2:$A$11,0))</x:f>
        <x:v>Fone Bluetooth</x:v>
      </x:c>
      <x:c r="G453" s="18" t="n">
        <x:v>1</x:v>
      </x:c>
      <x:c r="H453" s="17" t="n">
        <x:f>INDEX(Produtos!$D$2:$D$11,MATCH(E453,Produtos!$A$2:$A$11,0))</x:f>
        <x:v>129.9</x:v>
      </x:c>
      <x:c r="I453" s="17" t="n">
        <x:f>G453*H453</x:f>
        <x:v>129.9</x:v>
      </x:c>
      <x:c r="J453" s="14" t="str">
        <x:v>Boleto</x:v>
      </x:c>
      <x:c r="K453" s="14" t="str">
        <x:v>Processando</x:v>
      </x:c>
      <x:c r="L453" s="15" t="str">
        <x:f>INDEX(Clientes!$F$2:$F$101,MATCH(C453,Clientes!$A$2:$A$101,0))</x:f>
        <x:v>MG</x:v>
      </x:c>
    </x:row>
    <x:row r="454" ht="20" customHeight="1">
      <x:c r="A454" s="13" t="str">
        <x:v>PED00453</x:v>
      </x:c>
      <x:c r="B454" s="19" t="n">
        <x:v>46253</x:v>
      </x:c>
      <x:c r="C454" s="14" t="str">
        <x:v>CLI0046</x:v>
      </x:c>
      <x:c r="D454" s="14" t="str">
        <x:f>INDEX(Clientes!$B$2:$B$101,MATCH(C454,Clientes!$A$2:$A$101,0))</x:f>
        <x:v>Gustavo Ibrahim Queiroz</x:v>
      </x:c>
      <x:c r="E454" s="14" t="str">
        <x:v>PROD009</x:v>
      </x:c>
      <x:c r="F454" s="14" t="str">
        <x:f>INDEX(Produtos!$B$2:$B$11,MATCH(E454,Produtos!$A$2:$A$11,0))</x:f>
        <x:v>Carregador USB-C</x:v>
      </x:c>
      <x:c r="G454" s="18" t="n">
        <x:v>7</x:v>
      </x:c>
      <x:c r="H454" s="17" t="n">
        <x:f>INDEX(Produtos!$D$2:$D$11,MATCH(E454,Produtos!$A$2:$A$11,0))</x:f>
        <x:v>59.9</x:v>
      </x:c>
      <x:c r="I454" s="17" t="n">
        <x:f>G454*H454</x:f>
        <x:v>419.3</x:v>
      </x:c>
      <x:c r="J454" s="14" t="str">
        <x:v>Cartão de crédito</x:v>
      </x:c>
      <x:c r="K454" s="14" t="str">
        <x:v>Entregue</x:v>
      </x:c>
      <x:c r="L454" s="15" t="str">
        <x:f>INDEX(Clientes!$F$2:$F$101,MATCH(C454,Clientes!$A$2:$A$101,0))</x:f>
        <x:v>SC</x:v>
      </x:c>
    </x:row>
    <x:row r="455" ht="20" customHeight="1">
      <x:c r="A455" s="13" t="str">
        <x:v>PED00454</x:v>
      </x:c>
      <x:c r="B455" s="19" t="n">
        <x:v>46103</x:v>
      </x:c>
      <x:c r="C455" s="14" t="str">
        <x:v>CLI0080</x:v>
      </x:c>
      <x:c r="D455" s="14" t="str">
        <x:f>INDEX(Clientes!$B$2:$B$101,MATCH(C455,Clientes!$A$2:$A$101,0))</x:f>
        <x:v>Caio Nascimento Vargas</x:v>
      </x:c>
      <x:c r="E455" s="14" t="str">
        <x:v>PROD003</x:v>
      </x:c>
      <x:c r="F455" s="14" t="str">
        <x:f>INDEX(Produtos!$B$2:$B$11,MATCH(E455,Produtos!$A$2:$A$11,0))</x:f>
        <x:v>Fone Bluetooth</x:v>
      </x:c>
      <x:c r="G455" s="18" t="n">
        <x:v>5</x:v>
      </x:c>
      <x:c r="H455" s="17" t="n">
        <x:f>INDEX(Produtos!$D$2:$D$11,MATCH(E455,Produtos!$A$2:$A$11,0))</x:f>
        <x:v>129.9</x:v>
      </x:c>
      <x:c r="I455" s="17" t="n">
        <x:f>G455*H455</x:f>
        <x:v>649.5</x:v>
      </x:c>
      <x:c r="J455" s="14" t="str">
        <x:v>Boleto</x:v>
      </x:c>
      <x:c r="K455" s="14" t="str">
        <x:v>Processando</x:v>
      </x:c>
      <x:c r="L455" s="15" t="str">
        <x:f>INDEX(Clientes!$F$2:$F$101,MATCH(C455,Clientes!$A$2:$A$101,0))</x:f>
        <x:v>SC</x:v>
      </x:c>
    </x:row>
    <x:row r="456" ht="20" customHeight="1">
      <x:c r="A456" s="13" t="str">
        <x:v>PED00455</x:v>
      </x:c>
      <x:c r="B456" s="19" t="n">
        <x:v>46154</x:v>
      </x:c>
      <x:c r="C456" s="14" t="str">
        <x:v>CLI0038</x:v>
      </x:c>
      <x:c r="D456" s="14" t="str">
        <x:f>INDEX(Clientes!$B$2:$B$101,MATCH(C456,Clientes!$A$2:$A$101,0))</x:f>
        <x:v>Pedro Ramos Junqueira</x:v>
      </x:c>
      <x:c r="E456" s="14" t="str">
        <x:v>PROD003</x:v>
      </x:c>
      <x:c r="F456" s="14" t="str">
        <x:f>INDEX(Produtos!$B$2:$B$11,MATCH(E456,Produtos!$A$2:$A$11,0))</x:f>
        <x:v>Fone Bluetooth</x:v>
      </x:c>
      <x:c r="G456" s="18" t="n">
        <x:v>3</x:v>
      </x:c>
      <x:c r="H456" s="17" t="n">
        <x:f>INDEX(Produtos!$D$2:$D$11,MATCH(E456,Produtos!$A$2:$A$11,0))</x:f>
        <x:v>129.9</x:v>
      </x:c>
      <x:c r="I456" s="17" t="n">
        <x:f>G456*H456</x:f>
        <x:v>389.70000000000005</x:v>
      </x:c>
      <x:c r="J456" s="14" t="str">
        <x:v>Cartão de crédito</x:v>
      </x:c>
      <x:c r="K456" s="14" t="str">
        <x:v>Entregue</x:v>
      </x:c>
      <x:c r="L456" s="15" t="str">
        <x:f>INDEX(Clientes!$F$2:$F$101,MATCH(C456,Clientes!$A$2:$A$101,0))</x:f>
        <x:v>SC</x:v>
      </x:c>
    </x:row>
    <x:row r="457" ht="20" customHeight="1">
      <x:c r="A457" s="13" t="str">
        <x:v>PED00456</x:v>
      </x:c>
      <x:c r="B457" s="19" t="n">
        <x:v>46068</x:v>
      </x:c>
      <x:c r="C457" s="14" t="str">
        <x:v>CLI0004</x:v>
      </x:c>
      <x:c r="D457" s="14" t="str">
        <x:f>INDEX(Clientes!$B$2:$B$101,MATCH(C457,Clientes!$A$2:$A$101,0))</x:f>
        <x:v>Enzo Ibrahim Queiroz</x:v>
      </x:c>
      <x:c r="E457" s="14" t="str">
        <x:v>PROD001</x:v>
      </x:c>
      <x:c r="F457" s="14" t="str">
        <x:f>INDEX(Produtos!$B$2:$B$11,MATCH(E457,Produtos!$A$2:$A$11,0))</x:f>
        <x:v>Caderno Universitário</x:v>
      </x:c>
      <x:c r="G457" s="18" t="n">
        <x:v>1</x:v>
      </x:c>
      <x:c r="H457" s="17" t="n">
        <x:f>INDEX(Produtos!$D$2:$D$11,MATCH(E457,Produtos!$A$2:$A$11,0))</x:f>
        <x:v>24.9</x:v>
      </x:c>
      <x:c r="I457" s="17" t="n">
        <x:f>G457*H457</x:f>
        <x:v>24.9</x:v>
      </x:c>
      <x:c r="J457" s="14" t="str">
        <x:v>Boleto</x:v>
      </x:c>
      <x:c r="K457" s="14" t="str">
        <x:v>Processando</x:v>
      </x:c>
      <x:c r="L457" s="15" t="str">
        <x:f>INDEX(Clientes!$F$2:$F$101,MATCH(C457,Clientes!$A$2:$A$101,0))</x:f>
        <x:v>SP</x:v>
      </x:c>
    </x:row>
    <x:row r="458" ht="20" customHeight="1">
      <x:c r="A458" s="13" t="str">
        <x:v>PED00457</x:v>
      </x:c>
      <x:c r="B458" s="19" t="n">
        <x:v>46106</x:v>
      </x:c>
      <x:c r="C458" s="14" t="str">
        <x:v>CLI0086</x:v>
      </x:c>
      <x:c r="D458" s="14" t="str">
        <x:f>INDEX(Clientes!$B$2:$B$101,MATCH(C458,Clientes!$A$2:$A$101,0))</x:f>
        <x:v>Pedro Lopes Henrique</x:v>
      </x:c>
      <x:c r="E458" s="14" t="str">
        <x:v>PROD001</x:v>
      </x:c>
      <x:c r="F458" s="14" t="str">
        <x:f>INDEX(Produtos!$B$2:$B$11,MATCH(E458,Produtos!$A$2:$A$11,0))</x:f>
        <x:v>Caderno Universitário</x:v>
      </x:c>
      <x:c r="G458" s="18" t="n">
        <x:v>7</x:v>
      </x:c>
      <x:c r="H458" s="17" t="n">
        <x:f>INDEX(Produtos!$D$2:$D$11,MATCH(E458,Produtos!$A$2:$A$11,0))</x:f>
        <x:v>24.9</x:v>
      </x:c>
      <x:c r="I458" s="17" t="n">
        <x:f>G458*H458</x:f>
        <x:v>174.29999999999998</x:v>
      </x:c>
      <x:c r="J458" s="14" t="str">
        <x:v>Cartão de crédito</x:v>
      </x:c>
      <x:c r="K458" s="14" t="str">
        <x:v>Entregue</x:v>
      </x:c>
      <x:c r="L458" s="15" t="str">
        <x:f>INDEX(Clientes!$F$2:$F$101,MATCH(C458,Clientes!$A$2:$A$101,0))</x:f>
        <x:v>PR</x:v>
      </x:c>
    </x:row>
    <x:row r="459" ht="20" customHeight="1">
      <x:c r="A459" s="13" t="str">
        <x:v>PED00458</x:v>
      </x:c>
      <x:c r="B459" s="19" t="n">
        <x:v>46106</x:v>
      </x:c>
      <x:c r="C459" s="14" t="str">
        <x:v>CLI0076</x:v>
      </x:c>
      <x:c r="D459" s="14" t="str">
        <x:f>INDEX(Clientes!$B$2:$B$101,MATCH(C459,Clientes!$A$2:$A$101,0))</x:f>
        <x:v>Vinícius Farias Machado</x:v>
      </x:c>
      <x:c r="E459" s="14" t="str">
        <x:v>PROD009</x:v>
      </x:c>
      <x:c r="F459" s="14" t="str">
        <x:f>INDEX(Produtos!$B$2:$B$11,MATCH(E459,Produtos!$A$2:$A$11,0))</x:f>
        <x:v>Carregador USB-C</x:v>
      </x:c>
      <x:c r="G459" s="18" t="n">
        <x:v>5</x:v>
      </x:c>
      <x:c r="H459" s="17" t="n">
        <x:f>INDEX(Produtos!$D$2:$D$11,MATCH(E459,Produtos!$A$2:$A$11,0))</x:f>
        <x:v>59.9</x:v>
      </x:c>
      <x:c r="I459" s="17" t="n">
        <x:f>G459*H459</x:f>
        <x:v>299.5</x:v>
      </x:c>
      <x:c r="J459" s="14" t="str">
        <x:v>Boleto</x:v>
      </x:c>
      <x:c r="K459" s="14" t="str">
        <x:v>Processando</x:v>
      </x:c>
      <x:c r="L459" s="15" t="str">
        <x:f>INDEX(Clientes!$F$2:$F$101,MATCH(C459,Clientes!$A$2:$A$101,0))</x:f>
        <x:v>BA</x:v>
      </x:c>
    </x:row>
    <x:row r="460" ht="20" customHeight="1">
      <x:c r="A460" s="13" t="str">
        <x:v>PED00459</x:v>
      </x:c>
      <x:c r="B460" s="19" t="n">
        <x:v>46076</x:v>
      </x:c>
      <x:c r="C460" s="14" t="str">
        <x:v>CLI0090</x:v>
      </x:c>
      <x:c r="D460" s="14" t="str">
        <x:f>INDEX(Clientes!$B$2:$B$101,MATCH(C460,Clientes!$A$2:$A$101,0))</x:f>
        <x:v>Bruno Pereira Silva</x:v>
      </x:c>
      <x:c r="E460" s="14" t="str">
        <x:v>PROD003</x:v>
      </x:c>
      <x:c r="F460" s="14" t="str">
        <x:f>INDEX(Produtos!$B$2:$B$11,MATCH(E460,Produtos!$A$2:$A$11,0))</x:f>
        <x:v>Fone Bluetooth</x:v>
      </x:c>
      <x:c r="G460" s="18" t="n">
        <x:v>3</x:v>
      </x:c>
      <x:c r="H460" s="17" t="n">
        <x:f>INDEX(Produtos!$D$2:$D$11,MATCH(E460,Produtos!$A$2:$A$11,0))</x:f>
        <x:v>129.9</x:v>
      </x:c>
      <x:c r="I460" s="17" t="n">
        <x:f>G460*H460</x:f>
        <x:v>389.70000000000005</x:v>
      </x:c>
      <x:c r="J460" s="14" t="str">
        <x:v>Cartão de crédito</x:v>
      </x:c>
      <x:c r="K460" s="14" t="str">
        <x:v>Entregue</x:v>
      </x:c>
      <x:c r="L460" s="15" t="str">
        <x:f>INDEX(Clientes!$F$2:$F$101,MATCH(C460,Clientes!$A$2:$A$101,0))</x:f>
        <x:v>BA</x:v>
      </x:c>
    </x:row>
    <x:row r="461" ht="20" customHeight="1">
      <x:c r="A461" s="13" t="str">
        <x:v>PED00460</x:v>
      </x:c>
      <x:c r="B461" s="19" t="n">
        <x:v>46252</x:v>
      </x:c>
      <x:c r="C461" s="14" t="str">
        <x:v>CLI0028</x:v>
      </x:c>
      <x:c r="D461" s="14" t="str">
        <x:f>INDEX(Clientes!$B$2:$B$101,MATCH(C461,Clientes!$A$2:$A$101,0))</x:f>
        <x:v>Leonardo Nascimento Junqueira</x:v>
      </x:c>
      <x:c r="E461" s="14" t="str">
        <x:v>PROD003</x:v>
      </x:c>
      <x:c r="F461" s="14" t="str">
        <x:f>INDEX(Produtos!$B$2:$B$11,MATCH(E461,Produtos!$A$2:$A$11,0))</x:f>
        <x:v>Fone Bluetooth</x:v>
      </x:c>
      <x:c r="G461" s="18" t="n">
        <x:v>1</x:v>
      </x:c>
      <x:c r="H461" s="17" t="n">
        <x:f>INDEX(Produtos!$D$2:$D$11,MATCH(E461,Produtos!$A$2:$A$11,0))</x:f>
        <x:v>129.9</x:v>
      </x:c>
      <x:c r="I461" s="17" t="n">
        <x:f>G461*H461</x:f>
        <x:v>129.9</x:v>
      </x:c>
      <x:c r="J461" s="14" t="str">
        <x:v>Boleto</x:v>
      </x:c>
      <x:c r="K461" s="14" t="str">
        <x:v>Processando</x:v>
      </x:c>
      <x:c r="L461" s="15" t="str">
        <x:f>INDEX(Clientes!$F$2:$F$101,MATCH(C461,Clientes!$A$2:$A$101,0))</x:f>
        <x:v>SC</x:v>
      </x:c>
    </x:row>
    <x:row r="462" ht="20" customHeight="1">
      <x:c r="A462" s="13" t="str">
        <x:v>PED00461</x:v>
      </x:c>
      <x:c r="B462" s="19" t="n">
        <x:v>46054</x:v>
      </x:c>
      <x:c r="C462" s="14" t="str">
        <x:v>CLI0090</x:v>
      </x:c>
      <x:c r="D462" s="14" t="str">
        <x:f>INDEX(Clientes!$B$2:$B$101,MATCH(C462,Clientes!$A$2:$A$101,0))</x:f>
        <x:v>Bruno Pereira Silva</x:v>
      </x:c>
      <x:c r="E462" s="14" t="str">
        <x:v>PROD001</x:v>
      </x:c>
      <x:c r="F462" s="14" t="str">
        <x:f>INDEX(Produtos!$B$2:$B$11,MATCH(E462,Produtos!$A$2:$A$11,0))</x:f>
        <x:v>Caderno Universitário</x:v>
      </x:c>
      <x:c r="G462" s="18" t="n">
        <x:v>7</x:v>
      </x:c>
      <x:c r="H462" s="17" t="n">
        <x:f>INDEX(Produtos!$D$2:$D$11,MATCH(E462,Produtos!$A$2:$A$11,0))</x:f>
        <x:v>24.9</x:v>
      </x:c>
      <x:c r="I462" s="17" t="n">
        <x:f>G462*H462</x:f>
        <x:v>174.29999999999998</x:v>
      </x:c>
      <x:c r="J462" s="14" t="str">
        <x:v>Cartão de crédito</x:v>
      </x:c>
      <x:c r="K462" s="14" t="str">
        <x:v>Entregue</x:v>
      </x:c>
      <x:c r="L462" s="15" t="str">
        <x:f>INDEX(Clientes!$F$2:$F$101,MATCH(C462,Clientes!$A$2:$A$101,0))</x:f>
        <x:v>BA</x:v>
      </x:c>
    </x:row>
    <x:row r="463" ht="20" customHeight="1">
      <x:c r="A463" s="13" t="str">
        <x:v>PED00462</x:v>
      </x:c>
      <x:c r="B463" s="19" t="n">
        <x:v>46191</x:v>
      </x:c>
      <x:c r="C463" s="14" t="str">
        <x:v>CLI0056</x:v>
      </x:c>
      <x:c r="D463" s="14" t="str">
        <x:f>INDEX(Clientes!$B$2:$B$101,MATCH(C463,Clientes!$A$2:$A$101,0))</x:f>
        <x:v>Gustavo Andrade Souza</x:v>
      </x:c>
      <x:c r="E463" s="14" t="str">
        <x:v>PROD005</x:v>
      </x:c>
      <x:c r="F463" s="14" t="str">
        <x:f>INDEX(Produtos!$B$2:$B$11,MATCH(E463,Produtos!$A$2:$A$11,0))</x:f>
        <x:v>Luminária de Mesa LED</x:v>
      </x:c>
      <x:c r="G463" s="18" t="n">
        <x:v>5</x:v>
      </x:c>
      <x:c r="H463" s="17" t="n">
        <x:f>INDEX(Produtos!$D$2:$D$11,MATCH(E463,Produtos!$A$2:$A$11,0))</x:f>
        <x:v>89.5</x:v>
      </x:c>
      <x:c r="I463" s="17" t="n">
        <x:f>G463*H463</x:f>
        <x:v>447.5</x:v>
      </x:c>
      <x:c r="J463" s="14" t="str">
        <x:v>Boleto</x:v>
      </x:c>
      <x:c r="K463" s="14" t="str">
        <x:v>Processando</x:v>
      </x:c>
      <x:c r="L463" s="15" t="str">
        <x:f>INDEX(Clientes!$F$2:$F$101,MATCH(C463,Clientes!$A$2:$A$101,0))</x:f>
        <x:v>PR</x:v>
      </x:c>
    </x:row>
    <x:row r="464" ht="20" customHeight="1">
      <x:c r="A464" s="13" t="str">
        <x:v>PED00463</x:v>
      </x:c>
      <x:c r="B464" s="19" t="n">
        <x:v>46069</x:v>
      </x:c>
      <x:c r="C464" s="14" t="str">
        <x:v>CLI0030</x:v>
      </x:c>
      <x:c r="D464" s="14" t="str">
        <x:f>INDEX(Clientes!$B$2:$B$101,MATCH(C464,Clientes!$A$2:$A$101,0))</x:f>
        <x:v>Henrique Gomes Batista</x:v>
      </x:c>
      <x:c r="E464" s="14" t="str">
        <x:v>PROD005</x:v>
      </x:c>
      <x:c r="F464" s="14" t="str">
        <x:f>INDEX(Produtos!$B$2:$B$11,MATCH(E464,Produtos!$A$2:$A$11,0))</x:f>
        <x:v>Luminária de Mesa LED</x:v>
      </x:c>
      <x:c r="G464" s="18" t="n">
        <x:v>3</x:v>
      </x:c>
      <x:c r="H464" s="17" t="n">
        <x:f>INDEX(Produtos!$D$2:$D$11,MATCH(E464,Produtos!$A$2:$A$11,0))</x:f>
        <x:v>89.5</x:v>
      </x:c>
      <x:c r="I464" s="17" t="n">
        <x:f>G464*H464</x:f>
        <x:v>268.5</x:v>
      </x:c>
      <x:c r="J464" s="14" t="str">
        <x:v>Cartão de crédito</x:v>
      </x:c>
      <x:c r="K464" s="14" t="str">
        <x:v>Entregue</x:v>
      </x:c>
      <x:c r="L464" s="15" t="str">
        <x:f>INDEX(Clientes!$F$2:$F$101,MATCH(C464,Clientes!$A$2:$A$101,0))</x:f>
        <x:v>SP</x:v>
      </x:c>
    </x:row>
    <x:row r="465" ht="20" customHeight="1">
      <x:c r="A465" s="13" t="str">
        <x:v>PED00464</x:v>
      </x:c>
      <x:c r="B465" s="19" t="n">
        <x:v>46215</x:v>
      </x:c>
      <x:c r="C465" s="14" t="str">
        <x:v>CLI0008</x:v>
      </x:c>
      <x:c r="D465" s="14" t="str">
        <x:f>INDEX(Clientes!$B$2:$B$101,MATCH(C465,Clientes!$A$2:$A$101,0))</x:f>
        <x:v>Enzo Esteves Junqueira</x:v>
      </x:c>
      <x:c r="E465" s="14" t="str">
        <x:v>PROD005</x:v>
      </x:c>
      <x:c r="F465" s="14" t="str">
        <x:f>INDEX(Produtos!$B$2:$B$11,MATCH(E465,Produtos!$A$2:$A$11,0))</x:f>
        <x:v>Luminária de Mesa LED</x:v>
      </x:c>
      <x:c r="G465" s="18" t="n">
        <x:v>1</x:v>
      </x:c>
      <x:c r="H465" s="17" t="n">
        <x:f>INDEX(Produtos!$D$2:$D$11,MATCH(E465,Produtos!$A$2:$A$11,0))</x:f>
        <x:v>89.5</x:v>
      </x:c>
      <x:c r="I465" s="17" t="n">
        <x:f>G465*H465</x:f>
        <x:v>89.5</x:v>
      </x:c>
      <x:c r="J465" s="14" t="str">
        <x:v>Boleto</x:v>
      </x:c>
      <x:c r="K465" s="14" t="str">
        <x:v>Processando</x:v>
      </x:c>
      <x:c r="L465" s="15" t="str">
        <x:f>INDEX(Clientes!$F$2:$F$101,MATCH(C465,Clientes!$A$2:$A$101,0))</x:f>
        <x:v>PR</x:v>
      </x:c>
    </x:row>
    <x:row r="466" ht="20" customHeight="1">
      <x:c r="A466" s="13" t="str">
        <x:v>PED00465</x:v>
      </x:c>
      <x:c r="B466" s="19" t="n">
        <x:v>46237</x:v>
      </x:c>
      <x:c r="C466" s="14" t="str">
        <x:v>CLI0018</x:v>
      </x:c>
      <x:c r="D466" s="14" t="str">
        <x:f>INDEX(Clientes!$B$2:$B$101,MATCH(C466,Clientes!$A$2:$A$101,0))</x:f>
        <x:v>Bruno Cardoso Dias</x:v>
      </x:c>
      <x:c r="E466" s="14" t="str">
        <x:v>PROD001</x:v>
      </x:c>
      <x:c r="F466" s="14" t="str">
        <x:f>INDEX(Produtos!$B$2:$B$11,MATCH(E466,Produtos!$A$2:$A$11,0))</x:f>
        <x:v>Caderno Universitário</x:v>
      </x:c>
      <x:c r="G466" s="18" t="n">
        <x:v>7</x:v>
      </x:c>
      <x:c r="H466" s="17" t="n">
        <x:f>INDEX(Produtos!$D$2:$D$11,MATCH(E466,Produtos!$A$2:$A$11,0))</x:f>
        <x:v>24.9</x:v>
      </x:c>
      <x:c r="I466" s="17" t="n">
        <x:f>G466*H466</x:f>
        <x:v>174.29999999999998</x:v>
      </x:c>
      <x:c r="J466" s="14" t="str">
        <x:v>Cartão de crédito</x:v>
      </x:c>
      <x:c r="K466" s="14" t="str">
        <x:v>Entregue</x:v>
      </x:c>
      <x:c r="L466" s="15" t="str">
        <x:f>INDEX(Clientes!$F$2:$F$101,MATCH(C466,Clientes!$A$2:$A$101,0))</x:f>
        <x:v>BA</x:v>
      </x:c>
    </x:row>
    <x:row r="467" ht="20" customHeight="1">
      <x:c r="A467" s="13" t="str">
        <x:v>PED00466</x:v>
      </x:c>
      <x:c r="B467" s="19" t="n">
        <x:v>46236</x:v>
      </x:c>
      <x:c r="C467" s="14" t="str">
        <x:v>CLI0064</x:v>
      </x:c>
      <x:c r="D467" s="14" t="str">
        <x:f>INDEX(Clientes!$B$2:$B$101,MATCH(C467,Clientes!$A$2:$A$101,0))</x:f>
        <x:v>Leonardo Ibrahim Machado</x:v>
      </x:c>
      <x:c r="E467" s="14" t="str">
        <x:v>PROD001</x:v>
      </x:c>
      <x:c r="F467" s="14" t="str">
        <x:f>INDEX(Produtos!$B$2:$B$11,MATCH(E467,Produtos!$A$2:$A$11,0))</x:f>
        <x:v>Caderno Universitário</x:v>
      </x:c>
      <x:c r="G467" s="18" t="n">
        <x:v>5</x:v>
      </x:c>
      <x:c r="H467" s="17" t="n">
        <x:f>INDEX(Produtos!$D$2:$D$11,MATCH(E467,Produtos!$A$2:$A$11,0))</x:f>
        <x:v>24.9</x:v>
      </x:c>
      <x:c r="I467" s="17" t="n">
        <x:f>G467*H467</x:f>
        <x:v>124.5</x:v>
      </x:c>
      <x:c r="J467" s="14" t="str">
        <x:v>Boleto</x:v>
      </x:c>
      <x:c r="K467" s="14" t="str">
        <x:v>Processando</x:v>
      </x:c>
      <x:c r="L467" s="15" t="str">
        <x:f>INDEX(Clientes!$F$2:$F$101,MATCH(C467,Clientes!$A$2:$A$101,0))</x:f>
        <x:v>SP</x:v>
      </x:c>
    </x:row>
    <x:row r="468" ht="20" customHeight="1">
      <x:c r="A468" s="13" t="str">
        <x:v>PED00467</x:v>
      </x:c>
      <x:c r="B468" s="19" t="n">
        <x:v>46190</x:v>
      </x:c>
      <x:c r="C468" s="14" t="str">
        <x:v>CLI0046</x:v>
      </x:c>
      <x:c r="D468" s="14" t="str">
        <x:f>INDEX(Clientes!$B$2:$B$101,MATCH(C468,Clientes!$A$2:$A$101,0))</x:f>
        <x:v>Gustavo Ibrahim Queiroz</x:v>
      </x:c>
      <x:c r="E468" s="14" t="str">
        <x:v>PROD007</x:v>
      </x:c>
      <x:c r="F468" s="14" t="str">
        <x:f>INDEX(Produtos!$B$2:$B$11,MATCH(E468,Produtos!$A$2:$A$11,0))</x:f>
        <x:v>Caneca Cerâmica</x:v>
      </x:c>
      <x:c r="G468" s="18" t="n">
        <x:v>3</x:v>
      </x:c>
      <x:c r="H468" s="17" t="n">
        <x:f>INDEX(Produtos!$D$2:$D$11,MATCH(E468,Produtos!$A$2:$A$11,0))</x:f>
        <x:v>32</x:v>
      </x:c>
      <x:c r="I468" s="17" t="n">
        <x:f>G468*H468</x:f>
        <x:v>96</x:v>
      </x:c>
      <x:c r="J468" s="14" t="str">
        <x:v>Cartão de crédito</x:v>
      </x:c>
      <x:c r="K468" s="14" t="str">
        <x:v>Entregue</x:v>
      </x:c>
      <x:c r="L468" s="15" t="str">
        <x:f>INDEX(Clientes!$F$2:$F$101,MATCH(C468,Clientes!$A$2:$A$101,0))</x:f>
        <x:v>SC</x:v>
      </x:c>
    </x:row>
    <x:row r="469" ht="20" customHeight="1">
      <x:c r="A469" s="13" t="str">
        <x:v>PED00468</x:v>
      </x:c>
      <x:c r="B469" s="19" t="n">
        <x:v>46137</x:v>
      </x:c>
      <x:c r="C469" s="14" t="str">
        <x:v>CLI0036</x:v>
      </x:c>
      <x:c r="D469" s="14" t="str">
        <x:f>INDEX(Clientes!$B$2:$B$101,MATCH(C469,Clientes!$A$2:$A$101,0))</x:f>
        <x:v>Enzo Teixeira Machado</x:v>
      </x:c>
      <x:c r="E469" s="14" t="str">
        <x:v>PROD009</x:v>
      </x:c>
      <x:c r="F469" s="14" t="str">
        <x:f>INDEX(Produtos!$B$2:$B$11,MATCH(E469,Produtos!$A$2:$A$11,0))</x:f>
        <x:v>Carregador USB-C</x:v>
      </x:c>
      <x:c r="G469" s="18" t="n">
        <x:v>1</x:v>
      </x:c>
      <x:c r="H469" s="17" t="n">
        <x:f>INDEX(Produtos!$D$2:$D$11,MATCH(E469,Produtos!$A$2:$A$11,0))</x:f>
        <x:v>59.9</x:v>
      </x:c>
      <x:c r="I469" s="17" t="n">
        <x:f>G469*H469</x:f>
        <x:v>59.9</x:v>
      </x:c>
      <x:c r="J469" s="14" t="str">
        <x:v>Boleto</x:v>
      </x:c>
      <x:c r="K469" s="14" t="str">
        <x:v>Processando</x:v>
      </x:c>
      <x:c r="L469" s="15" t="str">
        <x:f>INDEX(Clientes!$F$2:$F$101,MATCH(C469,Clientes!$A$2:$A$101,0))</x:f>
        <x:v>SP</x:v>
      </x:c>
    </x:row>
    <x:row r="470" ht="20" customHeight="1">
      <x:c r="A470" s="13" t="str">
        <x:v>PED00469</x:v>
      </x:c>
      <x:c r="B470" s="19" t="n">
        <x:v>46220</x:v>
      </x:c>
      <x:c r="C470" s="14" t="str">
        <x:v>CLI0034</x:v>
      </x:c>
      <x:c r="D470" s="14" t="str">
        <x:f>INDEX(Clientes!$B$2:$B$101,MATCH(C470,Clientes!$A$2:$A$101,0))</x:f>
        <x:v>Igor Nascimento Garcia</x:v>
      </x:c>
      <x:c r="E470" s="14" t="str">
        <x:v>PROD001</x:v>
      </x:c>
      <x:c r="F470" s="14" t="str">
        <x:f>INDEX(Produtos!$B$2:$B$11,MATCH(E470,Produtos!$A$2:$A$11,0))</x:f>
        <x:v>Caderno Universitário</x:v>
      </x:c>
      <x:c r="G470" s="18" t="n">
        <x:v>7</x:v>
      </x:c>
      <x:c r="H470" s="17" t="n">
        <x:f>INDEX(Produtos!$D$2:$D$11,MATCH(E470,Produtos!$A$2:$A$11,0))</x:f>
        <x:v>24.9</x:v>
      </x:c>
      <x:c r="I470" s="17" t="n">
        <x:f>G470*H470</x:f>
        <x:v>174.29999999999998</x:v>
      </x:c>
      <x:c r="J470" s="14" t="str">
        <x:v>Cartão de crédito</x:v>
      </x:c>
      <x:c r="K470" s="14" t="str">
        <x:v>Entregue</x:v>
      </x:c>
      <x:c r="L470" s="15" t="str">
        <x:f>INDEX(Clientes!$F$2:$F$101,MATCH(C470,Clientes!$A$2:$A$101,0))</x:f>
        <x:v>PR</x:v>
      </x:c>
    </x:row>
    <x:row r="471" ht="20" customHeight="1">
      <x:c r="A471" s="13" t="str">
        <x:v>PED00470</x:v>
      </x:c>
      <x:c r="B471" s="19" t="n">
        <x:v>46063</x:v>
      </x:c>
      <x:c r="C471" s="14" t="str">
        <x:v>CLI0032</x:v>
      </x:c>
      <x:c r="D471" s="14" t="str">
        <x:f>INDEX(Clientes!$B$2:$B$101,MATCH(C471,Clientes!$A$2:$A$101,0))</x:f>
        <x:v>Leonardo Lima Oliveira</x:v>
      </x:c>
      <x:c r="E471" s="14" t="str">
        <x:v>PROD007</x:v>
      </x:c>
      <x:c r="F471" s="14" t="str">
        <x:f>INDEX(Produtos!$B$2:$B$11,MATCH(E471,Produtos!$A$2:$A$11,0))</x:f>
        <x:v>Caneca Cerâmica</x:v>
      </x:c>
      <x:c r="G471" s="18" t="n">
        <x:v>5</x:v>
      </x:c>
      <x:c r="H471" s="17" t="n">
        <x:f>INDEX(Produtos!$D$2:$D$11,MATCH(E471,Produtos!$A$2:$A$11,0))</x:f>
        <x:v>32</x:v>
      </x:c>
      <x:c r="I471" s="17" t="n">
        <x:f>G471*H471</x:f>
        <x:v>160</x:v>
      </x:c>
      <x:c r="J471" s="14" t="str">
        <x:v>Boleto</x:v>
      </x:c>
      <x:c r="K471" s="14" t="str">
        <x:v>Processando</x:v>
      </x:c>
      <x:c r="L471" s="15" t="str">
        <x:f>INDEX(Clientes!$F$2:$F$101,MATCH(C471,Clientes!$A$2:$A$101,0))</x:f>
        <x:v>PR</x:v>
      </x:c>
    </x:row>
    <x:row r="472" ht="20" customHeight="1">
      <x:c r="A472" s="13" t="str">
        <x:v>PED00471</x:v>
      </x:c>
      <x:c r="B472" s="19" t="n">
        <x:v>46152</x:v>
      </x:c>
      <x:c r="C472" s="14" t="str">
        <x:v>CLI0070</x:v>
      </x:c>
      <x:c r="D472" s="14" t="str">
        <x:f>INDEX(Clientes!$B$2:$B$101,MATCH(C472,Clientes!$A$2:$A$101,0))</x:f>
        <x:v>Bruno Rocha Barbosa</x:v>
      </x:c>
      <x:c r="E472" s="14" t="str">
        <x:v>PROD001</x:v>
      </x:c>
      <x:c r="F472" s="14" t="str">
        <x:f>INDEX(Produtos!$B$2:$B$11,MATCH(E472,Produtos!$A$2:$A$11,0))</x:f>
        <x:v>Caderno Universitário</x:v>
      </x:c>
      <x:c r="G472" s="18" t="n">
        <x:v>3</x:v>
      </x:c>
      <x:c r="H472" s="17" t="n">
        <x:f>INDEX(Produtos!$D$2:$D$11,MATCH(E472,Produtos!$A$2:$A$11,0))</x:f>
        <x:v>24.9</x:v>
      </x:c>
      <x:c r="I472" s="17" t="n">
        <x:f>G472*H472</x:f>
        <x:v>74.69999999999999</x:v>
      </x:c>
      <x:c r="J472" s="14" t="str">
        <x:v>Cartão de crédito</x:v>
      </x:c>
      <x:c r="K472" s="14" t="str">
        <x:v>Entregue</x:v>
      </x:c>
      <x:c r="L472" s="15" t="str">
        <x:f>INDEX(Clientes!$F$2:$F$101,MATCH(C472,Clientes!$A$2:$A$101,0))</x:f>
        <x:v>SC</x:v>
      </x:c>
    </x:row>
    <x:row r="473" ht="20" customHeight="1">
      <x:c r="A473" s="13" t="str">
        <x:v>PED00472</x:v>
      </x:c>
      <x:c r="B473" s="19" t="n">
        <x:v>46171</x:v>
      </x:c>
      <x:c r="C473" s="14" t="str">
        <x:v>CLI0052</x:v>
      </x:c>
      <x:c r="D473" s="14" t="str">
        <x:f>INDEX(Clientes!$B$2:$B$101,MATCH(C473,Clientes!$A$2:$A$101,0))</x:f>
        <x:v>Caio Rocha Dias</x:v>
      </x:c>
      <x:c r="E473" s="14" t="str">
        <x:v>PROD001</x:v>
      </x:c>
      <x:c r="F473" s="14" t="str">
        <x:f>INDEX(Produtos!$B$2:$B$11,MATCH(E473,Produtos!$A$2:$A$11,0))</x:f>
        <x:v>Caderno Universitário</x:v>
      </x:c>
      <x:c r="G473" s="18" t="n">
        <x:v>1</x:v>
      </x:c>
      <x:c r="H473" s="17" t="n">
        <x:f>INDEX(Produtos!$D$2:$D$11,MATCH(E473,Produtos!$A$2:$A$11,0))</x:f>
        <x:v>24.9</x:v>
      </x:c>
      <x:c r="I473" s="17" t="n">
        <x:f>G473*H473</x:f>
        <x:v>24.9</x:v>
      </x:c>
      <x:c r="J473" s="14" t="str">
        <x:v>Boleto</x:v>
      </x:c>
      <x:c r="K473" s="14" t="str">
        <x:v>Processando</x:v>
      </x:c>
      <x:c r="L473" s="15" t="str">
        <x:f>INDEX(Clientes!$F$2:$F$101,MATCH(C473,Clientes!$A$2:$A$101,0))</x:f>
        <x:v>SP</x:v>
      </x:c>
    </x:row>
    <x:row r="474" ht="20" customHeight="1">
      <x:c r="A474" s="13" t="str">
        <x:v>PED00473</x:v>
      </x:c>
      <x:c r="B474" s="19" t="n">
        <x:v>46233</x:v>
      </x:c>
      <x:c r="C474" s="14" t="str">
        <x:v>CLI0018</x:v>
      </x:c>
      <x:c r="D474" s="14" t="str">
        <x:f>INDEX(Clientes!$B$2:$B$101,MATCH(C474,Clientes!$A$2:$A$101,0))</x:f>
        <x:v>Bruno Cardoso Dias</x:v>
      </x:c>
      <x:c r="E474" s="14" t="str">
        <x:v>PROD003</x:v>
      </x:c>
      <x:c r="F474" s="14" t="str">
        <x:f>INDEX(Produtos!$B$2:$B$11,MATCH(E474,Produtos!$A$2:$A$11,0))</x:f>
        <x:v>Fone Bluetooth</x:v>
      </x:c>
      <x:c r="G474" s="18" t="n">
        <x:v>7</x:v>
      </x:c>
      <x:c r="H474" s="17" t="n">
        <x:f>INDEX(Produtos!$D$2:$D$11,MATCH(E474,Produtos!$A$2:$A$11,0))</x:f>
        <x:v>129.9</x:v>
      </x:c>
      <x:c r="I474" s="17" t="n">
        <x:f>G474*H474</x:f>
        <x:v>909.3000000000001</x:v>
      </x:c>
      <x:c r="J474" s="14" t="str">
        <x:v>Cartão de crédito</x:v>
      </x:c>
      <x:c r="K474" s="14" t="str">
        <x:v>Entregue</x:v>
      </x:c>
      <x:c r="L474" s="15" t="str">
        <x:f>INDEX(Clientes!$F$2:$F$101,MATCH(C474,Clientes!$A$2:$A$101,0))</x:f>
        <x:v>BA</x:v>
      </x:c>
    </x:row>
    <x:row r="475" ht="20" customHeight="1">
      <x:c r="A475" s="13" t="str">
        <x:v>PED00474</x:v>
      </x:c>
      <x:c r="B475" s="19" t="n">
        <x:v>46225</x:v>
      </x:c>
      <x:c r="C475" s="14" t="str">
        <x:v>CLI0048</x:v>
      </x:c>
      <x:c r="D475" s="14" t="str">
        <x:f>INDEX(Clientes!$B$2:$B$101,MATCH(C475,Clientes!$A$2:$A$101,0))</x:f>
        <x:v>Daniel Nascimento Barbosa</x:v>
      </x:c>
      <x:c r="E475" s="14" t="str">
        <x:v>PROD009</x:v>
      </x:c>
      <x:c r="F475" s="14" t="str">
        <x:f>INDEX(Produtos!$B$2:$B$11,MATCH(E475,Produtos!$A$2:$A$11,0))</x:f>
        <x:v>Carregador USB-C</x:v>
      </x:c>
      <x:c r="G475" s="18" t="n">
        <x:v>5</x:v>
      </x:c>
      <x:c r="H475" s="17" t="n">
        <x:f>INDEX(Produtos!$D$2:$D$11,MATCH(E475,Produtos!$A$2:$A$11,0))</x:f>
        <x:v>59.9</x:v>
      </x:c>
      <x:c r="I475" s="17" t="n">
        <x:f>G475*H475</x:f>
        <x:v>299.5</x:v>
      </x:c>
      <x:c r="J475" s="14" t="str">
        <x:v>Boleto</x:v>
      </x:c>
      <x:c r="K475" s="14" t="str">
        <x:v>Processando</x:v>
      </x:c>
      <x:c r="L475" s="15" t="str">
        <x:f>INDEX(Clientes!$F$2:$F$101,MATCH(C475,Clientes!$A$2:$A$101,0))</x:f>
        <x:v>SP</x:v>
      </x:c>
    </x:row>
    <x:row r="476" ht="20" customHeight="1">
      <x:c r="A476" s="13" t="str">
        <x:v>PED00475</x:v>
      </x:c>
      <x:c r="B476" s="19" t="n">
        <x:v>46282</x:v>
      </x:c>
      <x:c r="C476" s="14" t="str">
        <x:v>CLI0082</x:v>
      </x:c>
      <x:c r="D476" s="14" t="str">
        <x:f>INDEX(Clientes!$B$2:$B$101,MATCH(C476,Clientes!$A$2:$A$101,0))</x:f>
        <x:v>Bruno Esteves Barbosa</x:v>
      </x:c>
      <x:c r="E476" s="14" t="str">
        <x:v>PROD007</x:v>
      </x:c>
      <x:c r="F476" s="14" t="str">
        <x:f>INDEX(Produtos!$B$2:$B$11,MATCH(E476,Produtos!$A$2:$A$11,0))</x:f>
        <x:v>Caneca Cerâmica</x:v>
      </x:c>
      <x:c r="G476" s="18" t="n">
        <x:v>3</x:v>
      </x:c>
      <x:c r="H476" s="17" t="n">
        <x:f>INDEX(Produtos!$D$2:$D$11,MATCH(E476,Produtos!$A$2:$A$11,0))</x:f>
        <x:v>32</x:v>
      </x:c>
      <x:c r="I476" s="17" t="n">
        <x:f>G476*H476</x:f>
        <x:v>96</x:v>
      </x:c>
      <x:c r="J476" s="14" t="str">
        <x:v>Cartão de crédito</x:v>
      </x:c>
      <x:c r="K476" s="14" t="str">
        <x:v>Entregue</x:v>
      </x:c>
      <x:c r="L476" s="15" t="str">
        <x:f>INDEX(Clientes!$F$2:$F$101,MATCH(C476,Clientes!$A$2:$A$101,0))</x:f>
        <x:v>SC</x:v>
      </x:c>
    </x:row>
    <x:row r="477" ht="20" customHeight="1">
      <x:c r="A477" s="13" t="str">
        <x:v>PED00476</x:v>
      </x:c>
      <x:c r="B477" s="19" t="n">
        <x:v>46218</x:v>
      </x:c>
      <x:c r="C477" s="14" t="str">
        <x:v>CLI0032</x:v>
      </x:c>
      <x:c r="D477" s="14" t="str">
        <x:f>INDEX(Clientes!$B$2:$B$101,MATCH(C477,Clientes!$A$2:$A$101,0))</x:f>
        <x:v>Leonardo Lima Oliveira</x:v>
      </x:c>
      <x:c r="E477" s="14" t="str">
        <x:v>PROD009</x:v>
      </x:c>
      <x:c r="F477" s="14" t="str">
        <x:f>INDEX(Produtos!$B$2:$B$11,MATCH(E477,Produtos!$A$2:$A$11,0))</x:f>
        <x:v>Carregador USB-C</x:v>
      </x:c>
      <x:c r="G477" s="18" t="n">
        <x:v>1</x:v>
      </x:c>
      <x:c r="H477" s="17" t="n">
        <x:f>INDEX(Produtos!$D$2:$D$11,MATCH(E477,Produtos!$A$2:$A$11,0))</x:f>
        <x:v>59.9</x:v>
      </x:c>
      <x:c r="I477" s="17" t="n">
        <x:f>G477*H477</x:f>
        <x:v>59.9</x:v>
      </x:c>
      <x:c r="J477" s="14" t="str">
        <x:v>Boleto</x:v>
      </x:c>
      <x:c r="K477" s="14" t="str">
        <x:v>Processando</x:v>
      </x:c>
      <x:c r="L477" s="15" t="str">
        <x:f>INDEX(Clientes!$F$2:$F$101,MATCH(C477,Clientes!$A$2:$A$101,0))</x:f>
        <x:v>PR</x:v>
      </x:c>
    </x:row>
    <x:row r="478" ht="20" customHeight="1">
      <x:c r="A478" s="13" t="str">
        <x:v>PED00477</x:v>
      </x:c>
      <x:c r="B478" s="19" t="n">
        <x:v>46235</x:v>
      </x:c>
      <x:c r="C478" s="14" t="str">
        <x:v>CLI0062</x:v>
      </x:c>
      <x:c r="D478" s="14" t="str">
        <x:f>INDEX(Clientes!$B$2:$B$101,MATCH(C478,Clientes!$A$2:$A$101,0))</x:f>
        <x:v>Enzo Pereira Duarte</x:v>
      </x:c>
      <x:c r="E478" s="14" t="str">
        <x:v>PROD005</x:v>
      </x:c>
      <x:c r="F478" s="14" t="str">
        <x:f>INDEX(Produtos!$B$2:$B$11,MATCH(E478,Produtos!$A$2:$A$11,0))</x:f>
        <x:v>Luminária de Mesa LED</x:v>
      </x:c>
      <x:c r="G478" s="18" t="n">
        <x:v>7</x:v>
      </x:c>
      <x:c r="H478" s="17" t="n">
        <x:f>INDEX(Produtos!$D$2:$D$11,MATCH(E478,Produtos!$A$2:$A$11,0))</x:f>
        <x:v>89.5</x:v>
      </x:c>
      <x:c r="I478" s="17" t="n">
        <x:f>G478*H478</x:f>
        <x:v>626.5</x:v>
      </x:c>
      <x:c r="J478" s="14" t="str">
        <x:v>Cartão de crédito</x:v>
      </x:c>
      <x:c r="K478" s="14" t="str">
        <x:v>Entregue</x:v>
      </x:c>
      <x:c r="L478" s="15" t="str">
        <x:f>INDEX(Clientes!$F$2:$F$101,MATCH(C478,Clientes!$A$2:$A$101,0))</x:f>
        <x:v>SC</x:v>
      </x:c>
    </x:row>
    <x:row r="479" ht="20" customHeight="1">
      <x:c r="A479" s="13" t="str">
        <x:v>PED00478</x:v>
      </x:c>
      <x:c r="B479" s="19" t="n">
        <x:v>46283</x:v>
      </x:c>
      <x:c r="C479" s="14" t="str">
        <x:v>CLI0004</x:v>
      </x:c>
      <x:c r="D479" s="14" t="str">
        <x:f>INDEX(Clientes!$B$2:$B$101,MATCH(C479,Clientes!$A$2:$A$101,0))</x:f>
        <x:v>Enzo Ibrahim Queiroz</x:v>
      </x:c>
      <x:c r="E479" s="14" t="str">
        <x:v>PROD003</x:v>
      </x:c>
      <x:c r="F479" s="14" t="str">
        <x:f>INDEX(Produtos!$B$2:$B$11,MATCH(E479,Produtos!$A$2:$A$11,0))</x:f>
        <x:v>Fone Bluetooth</x:v>
      </x:c>
      <x:c r="G479" s="18" t="n">
        <x:v>5</x:v>
      </x:c>
      <x:c r="H479" s="17" t="n">
        <x:f>INDEX(Produtos!$D$2:$D$11,MATCH(E479,Produtos!$A$2:$A$11,0))</x:f>
        <x:v>129.9</x:v>
      </x:c>
      <x:c r="I479" s="17" t="n">
        <x:f>G479*H479</x:f>
        <x:v>649.5</x:v>
      </x:c>
      <x:c r="J479" s="14" t="str">
        <x:v>Boleto</x:v>
      </x:c>
      <x:c r="K479" s="14" t="str">
        <x:v>Processando</x:v>
      </x:c>
      <x:c r="L479" s="15" t="str">
        <x:f>INDEX(Clientes!$F$2:$F$101,MATCH(C479,Clientes!$A$2:$A$101,0))</x:f>
        <x:v>SP</x:v>
      </x:c>
    </x:row>
    <x:row r="480" ht="20" customHeight="1">
      <x:c r="A480" s="13" t="str">
        <x:v>PED00479</x:v>
      </x:c>
      <x:c r="B480" s="19" t="n">
        <x:v>46149</x:v>
      </x:c>
      <x:c r="C480" s="14" t="str">
        <x:v>CLI0094</x:v>
      </x:c>
      <x:c r="D480" s="14" t="str">
        <x:f>INDEX(Clientes!$B$2:$B$101,MATCH(C480,Clientes!$A$2:$A$101,0))</x:f>
        <x:v>Daniel Pereira Henrique</x:v>
      </x:c>
      <x:c r="E480" s="14" t="str">
        <x:v>PROD007</x:v>
      </x:c>
      <x:c r="F480" s="14" t="str">
        <x:f>INDEX(Produtos!$B$2:$B$11,MATCH(E480,Produtos!$A$2:$A$11,0))</x:f>
        <x:v>Caneca Cerâmica</x:v>
      </x:c>
      <x:c r="G480" s="18" t="n">
        <x:v>3</x:v>
      </x:c>
      <x:c r="H480" s="17" t="n">
        <x:f>INDEX(Produtos!$D$2:$D$11,MATCH(E480,Produtos!$A$2:$A$11,0))</x:f>
        <x:v>32</x:v>
      </x:c>
      <x:c r="I480" s="17" t="n">
        <x:f>G480*H480</x:f>
        <x:v>96</x:v>
      </x:c>
      <x:c r="J480" s="14" t="str">
        <x:v>Cartão de crédito</x:v>
      </x:c>
      <x:c r="K480" s="14" t="str">
        <x:v>Entregue</x:v>
      </x:c>
      <x:c r="L480" s="15" t="str">
        <x:f>INDEX(Clientes!$F$2:$F$101,MATCH(C480,Clientes!$A$2:$A$101,0))</x:f>
        <x:v>PR</x:v>
      </x:c>
    </x:row>
    <x:row r="481" ht="20" customHeight="1">
      <x:c r="A481" s="13" t="str">
        <x:v>PED00480</x:v>
      </x:c>
      <x:c r="B481" s="19" t="n">
        <x:v>46213</x:v>
      </x:c>
      <x:c r="C481" s="14" t="str">
        <x:v>CLI0064</x:v>
      </x:c>
      <x:c r="D481" s="14" t="str">
        <x:f>INDEX(Clientes!$B$2:$B$101,MATCH(C481,Clientes!$A$2:$A$101,0))</x:f>
        <x:v>Leonardo Ibrahim Machado</x:v>
      </x:c>
      <x:c r="E481" s="14" t="str">
        <x:v>PROD003</x:v>
      </x:c>
      <x:c r="F481" s="14" t="str">
        <x:f>INDEX(Produtos!$B$2:$B$11,MATCH(E481,Produtos!$A$2:$A$11,0))</x:f>
        <x:v>Fone Bluetooth</x:v>
      </x:c>
      <x:c r="G481" s="18" t="n">
        <x:v>1</x:v>
      </x:c>
      <x:c r="H481" s="17" t="n">
        <x:f>INDEX(Produtos!$D$2:$D$11,MATCH(E481,Produtos!$A$2:$A$11,0))</x:f>
        <x:v>129.9</x:v>
      </x:c>
      <x:c r="I481" s="17" t="n">
        <x:f>G481*H481</x:f>
        <x:v>129.9</x:v>
      </x:c>
      <x:c r="J481" s="14" t="str">
        <x:v>Boleto</x:v>
      </x:c>
      <x:c r="K481" s="14" t="str">
        <x:v>Processando</x:v>
      </x:c>
      <x:c r="L481" s="15" t="str">
        <x:f>INDEX(Clientes!$F$2:$F$101,MATCH(C481,Clientes!$A$2:$A$101,0))</x:f>
        <x:v>SP</x:v>
      </x:c>
    </x:row>
    <x:row r="482" ht="20" customHeight="1">
      <x:c r="A482" s="13" t="str">
        <x:v>PED00481</x:v>
      </x:c>
      <x:c r="B482" s="19" t="n">
        <x:v>46230</x:v>
      </x:c>
      <x:c r="C482" s="14" t="str">
        <x:v>CLI0074</x:v>
      </x:c>
      <x:c r="D482" s="14" t="str">
        <x:f>INDEX(Clientes!$B$2:$B$101,MATCH(C482,Clientes!$A$2:$A$101,0))</x:f>
        <x:v>Pedro Costa Mendes</x:v>
      </x:c>
      <x:c r="E482" s="14" t="str">
        <x:v>PROD007</x:v>
      </x:c>
      <x:c r="F482" s="14" t="str">
        <x:f>INDEX(Produtos!$B$2:$B$11,MATCH(E482,Produtos!$A$2:$A$11,0))</x:f>
        <x:v>Caneca Cerâmica</x:v>
      </x:c>
      <x:c r="G482" s="18" t="n">
        <x:v>7</x:v>
      </x:c>
      <x:c r="H482" s="17" t="n">
        <x:f>INDEX(Produtos!$D$2:$D$11,MATCH(E482,Produtos!$A$2:$A$11,0))</x:f>
        <x:v>32</x:v>
      </x:c>
      <x:c r="I482" s="17" t="n">
        <x:f>G482*H482</x:f>
        <x:v>224</x:v>
      </x:c>
      <x:c r="J482" s="14" t="str">
        <x:v>Cartão de crédito</x:v>
      </x:c>
      <x:c r="K482" s="14" t="str">
        <x:v>Entregue</x:v>
      </x:c>
      <x:c r="L482" s="15" t="str">
        <x:f>INDEX(Clientes!$F$2:$F$101,MATCH(C482,Clientes!$A$2:$A$101,0))</x:f>
        <x:v>MG</x:v>
      </x:c>
    </x:row>
    <x:row r="483" ht="20" customHeight="1">
      <x:c r="A483" s="13" t="str">
        <x:v>PED00482</x:v>
      </x:c>
      <x:c r="B483" s="19" t="n">
        <x:v>46205</x:v>
      </x:c>
      <x:c r="C483" s="14" t="str">
        <x:v>CLI0068</x:v>
      </x:c>
      <x:c r="D483" s="14" t="str">
        <x:f>INDEX(Clientes!$B$2:$B$101,MATCH(C483,Clientes!$A$2:$A$101,0))</x:f>
        <x:v>Igor Andrade Machado</x:v>
      </x:c>
      <x:c r="E483" s="14" t="str">
        <x:v>PROD003</x:v>
      </x:c>
      <x:c r="F483" s="14" t="str">
        <x:f>INDEX(Produtos!$B$2:$B$11,MATCH(E483,Produtos!$A$2:$A$11,0))</x:f>
        <x:v>Fone Bluetooth</x:v>
      </x:c>
      <x:c r="G483" s="18" t="n">
        <x:v>5</x:v>
      </x:c>
      <x:c r="H483" s="17" t="n">
        <x:f>INDEX(Produtos!$D$2:$D$11,MATCH(E483,Produtos!$A$2:$A$11,0))</x:f>
        <x:v>129.9</x:v>
      </x:c>
      <x:c r="I483" s="17" t="n">
        <x:f>G483*H483</x:f>
        <x:v>649.5</x:v>
      </x:c>
      <x:c r="J483" s="14" t="str">
        <x:v>Boleto</x:v>
      </x:c>
      <x:c r="K483" s="14" t="str">
        <x:v>Processando</x:v>
      </x:c>
      <x:c r="L483" s="15" t="str">
        <x:f>INDEX(Clientes!$F$2:$F$101,MATCH(C483,Clientes!$A$2:$A$101,0))</x:f>
        <x:v>SP</x:v>
      </x:c>
    </x:row>
    <x:row r="484" ht="20" customHeight="1">
      <x:c r="A484" s="13" t="str">
        <x:v>PED00483</x:v>
      </x:c>
      <x:c r="B484" s="19" t="n">
        <x:v>46066</x:v>
      </x:c>
      <x:c r="C484" s="14" t="str">
        <x:v>CLI0078</x:v>
      </x:c>
      <x:c r="D484" s="14" t="str">
        <x:f>INDEX(Clientes!$B$2:$B$101,MATCH(C484,Clientes!$A$2:$A$101,0))</x:f>
        <x:v>Lucas Gomes Queiroz</x:v>
      </x:c>
      <x:c r="E484" s="14" t="str">
        <x:v>PROD005</x:v>
      </x:c>
      <x:c r="F484" s="14" t="str">
        <x:f>INDEX(Produtos!$B$2:$B$11,MATCH(E484,Produtos!$A$2:$A$11,0))</x:f>
        <x:v>Luminária de Mesa LED</x:v>
      </x:c>
      <x:c r="G484" s="18" t="n">
        <x:v>3</x:v>
      </x:c>
      <x:c r="H484" s="17" t="n">
        <x:f>INDEX(Produtos!$D$2:$D$11,MATCH(E484,Produtos!$A$2:$A$11,0))</x:f>
        <x:v>89.5</x:v>
      </x:c>
      <x:c r="I484" s="17" t="n">
        <x:f>G484*H484</x:f>
        <x:v>268.5</x:v>
      </x:c>
      <x:c r="J484" s="14" t="str">
        <x:v>Cartão de crédito</x:v>
      </x:c>
      <x:c r="K484" s="14" t="str">
        <x:v>Entregue</x:v>
      </x:c>
      <x:c r="L484" s="15" t="str">
        <x:f>INDEX(Clientes!$F$2:$F$101,MATCH(C484,Clientes!$A$2:$A$101,0))</x:f>
        <x:v>SP</x:v>
      </x:c>
    </x:row>
    <x:row r="485" ht="20" customHeight="1">
      <x:c r="A485" s="13" t="str">
        <x:v>PED00484</x:v>
      </x:c>
      <x:c r="B485" s="19" t="n">
        <x:v>46188</x:v>
      </x:c>
      <x:c r="C485" s="14" t="str">
        <x:v>CLI0028</x:v>
      </x:c>
      <x:c r="D485" s="14" t="str">
        <x:f>INDEX(Clientes!$B$2:$B$101,MATCH(C485,Clientes!$A$2:$A$101,0))</x:f>
        <x:v>Leonardo Nascimento Junqueira</x:v>
      </x:c>
      <x:c r="E485" s="14" t="str">
        <x:v>PROD005</x:v>
      </x:c>
      <x:c r="F485" s="14" t="str">
        <x:f>INDEX(Produtos!$B$2:$B$11,MATCH(E485,Produtos!$A$2:$A$11,0))</x:f>
        <x:v>Luminária de Mesa LED</x:v>
      </x:c>
      <x:c r="G485" s="18" t="n">
        <x:v>1</x:v>
      </x:c>
      <x:c r="H485" s="17" t="n">
        <x:f>INDEX(Produtos!$D$2:$D$11,MATCH(E485,Produtos!$A$2:$A$11,0))</x:f>
        <x:v>89.5</x:v>
      </x:c>
      <x:c r="I485" s="17" t="n">
        <x:f>G485*H485</x:f>
        <x:v>89.5</x:v>
      </x:c>
      <x:c r="J485" s="14" t="str">
        <x:v>Boleto</x:v>
      </x:c>
      <x:c r="K485" s="14" t="str">
        <x:v>Processando</x:v>
      </x:c>
      <x:c r="L485" s="15" t="str">
        <x:f>INDEX(Clientes!$F$2:$F$101,MATCH(C485,Clientes!$A$2:$A$101,0))</x:f>
        <x:v>SC</x:v>
      </x:c>
    </x:row>
    <x:row r="486" ht="20" customHeight="1">
      <x:c r="A486" s="13" t="str">
        <x:v>PED00485</x:v>
      </x:c>
      <x:c r="B486" s="19" t="n">
        <x:v>46131</x:v>
      </x:c>
      <x:c r="C486" s="14" t="str">
        <x:v>CLI0074</x:v>
      </x:c>
      <x:c r="D486" s="14" t="str">
        <x:f>INDEX(Clientes!$B$2:$B$101,MATCH(C486,Clientes!$A$2:$A$101,0))</x:f>
        <x:v>Pedro Costa Mendes</x:v>
      </x:c>
      <x:c r="E486" s="14" t="str">
        <x:v>PROD005</x:v>
      </x:c>
      <x:c r="F486" s="14" t="str">
        <x:f>INDEX(Produtos!$B$2:$B$11,MATCH(E486,Produtos!$A$2:$A$11,0))</x:f>
        <x:v>Luminária de Mesa LED</x:v>
      </x:c>
      <x:c r="G486" s="18" t="n">
        <x:v>7</x:v>
      </x:c>
      <x:c r="H486" s="17" t="n">
        <x:f>INDEX(Produtos!$D$2:$D$11,MATCH(E486,Produtos!$A$2:$A$11,0))</x:f>
        <x:v>89.5</x:v>
      </x:c>
      <x:c r="I486" s="17" t="n">
        <x:f>G486*H486</x:f>
        <x:v>626.5</x:v>
      </x:c>
      <x:c r="J486" s="14" t="str">
        <x:v>Cartão de crédito</x:v>
      </x:c>
      <x:c r="K486" s="14" t="str">
        <x:v>Entregue</x:v>
      </x:c>
      <x:c r="L486" s="15" t="str">
        <x:f>INDEX(Clientes!$F$2:$F$101,MATCH(C486,Clientes!$A$2:$A$101,0))</x:f>
        <x:v>MG</x:v>
      </x:c>
    </x:row>
    <x:row r="487" ht="20" customHeight="1">
      <x:c r="A487" s="13" t="str">
        <x:v>PED00486</x:v>
      </x:c>
      <x:c r="B487" s="19" t="n">
        <x:v>46228</x:v>
      </x:c>
      <x:c r="C487" s="14" t="str">
        <x:v>CLI0032</x:v>
      </x:c>
      <x:c r="D487" s="14" t="str">
        <x:f>INDEX(Clientes!$B$2:$B$101,MATCH(C487,Clientes!$A$2:$A$101,0))</x:f>
        <x:v>Leonardo Lima Oliveira</x:v>
      </x:c>
      <x:c r="E487" s="14" t="str">
        <x:v>PROD005</x:v>
      </x:c>
      <x:c r="F487" s="14" t="str">
        <x:f>INDEX(Produtos!$B$2:$B$11,MATCH(E487,Produtos!$A$2:$A$11,0))</x:f>
        <x:v>Luminária de Mesa LED</x:v>
      </x:c>
      <x:c r="G487" s="18" t="n">
        <x:v>5</x:v>
      </x:c>
      <x:c r="H487" s="17" t="n">
        <x:f>INDEX(Produtos!$D$2:$D$11,MATCH(E487,Produtos!$A$2:$A$11,0))</x:f>
        <x:v>89.5</x:v>
      </x:c>
      <x:c r="I487" s="17" t="n">
        <x:f>G487*H487</x:f>
        <x:v>447.5</x:v>
      </x:c>
      <x:c r="J487" s="14" t="str">
        <x:v>Boleto</x:v>
      </x:c>
      <x:c r="K487" s="14" t="str">
        <x:v>Processando</x:v>
      </x:c>
      <x:c r="L487" s="15" t="str">
        <x:f>INDEX(Clientes!$F$2:$F$101,MATCH(C487,Clientes!$A$2:$A$101,0))</x:f>
        <x:v>PR</x:v>
      </x:c>
    </x:row>
    <x:row r="488" ht="20" customHeight="1">
      <x:c r="A488" s="13" t="str">
        <x:v>PED00487</x:v>
      </x:c>
      <x:c r="B488" s="19" t="n">
        <x:v>46091</x:v>
      </x:c>
      <x:c r="C488" s="14" t="str">
        <x:v>CLI0054</x:v>
      </x:c>
      <x:c r="D488" s="14" t="str">
        <x:f>INDEX(Clientes!$B$2:$B$101,MATCH(C488,Clientes!$A$2:$A$101,0))</x:f>
        <x:v>Lucas Farias Ferreira</x:v>
      </x:c>
      <x:c r="E488" s="14" t="str">
        <x:v>PROD009</x:v>
      </x:c>
      <x:c r="F488" s="14" t="str">
        <x:f>INDEX(Produtos!$B$2:$B$11,MATCH(E488,Produtos!$A$2:$A$11,0))</x:f>
        <x:v>Carregador USB-C</x:v>
      </x:c>
      <x:c r="G488" s="18" t="n">
        <x:v>3</x:v>
      </x:c>
      <x:c r="H488" s="17" t="n">
        <x:f>INDEX(Produtos!$D$2:$D$11,MATCH(E488,Produtos!$A$2:$A$11,0))</x:f>
        <x:v>59.9</x:v>
      </x:c>
      <x:c r="I488" s="17" t="n">
        <x:f>G488*H488</x:f>
        <x:v>179.7</x:v>
      </x:c>
      <x:c r="J488" s="14" t="str">
        <x:v>Cartão de crédito</x:v>
      </x:c>
      <x:c r="K488" s="14" t="str">
        <x:v>Entregue</x:v>
      </x:c>
      <x:c r="L488" s="15" t="str">
        <x:f>INDEX(Clientes!$F$2:$F$101,MATCH(C488,Clientes!$A$2:$A$101,0))</x:f>
        <x:v>SC</x:v>
      </x:c>
    </x:row>
    <x:row r="489" ht="20" customHeight="1">
      <x:c r="A489" s="13" t="str">
        <x:v>PED00488</x:v>
      </x:c>
      <x:c r="B489" s="19" t="n">
        <x:v>46232</x:v>
      </x:c>
      <x:c r="C489" s="14" t="str">
        <x:v>CLI0008</x:v>
      </x:c>
      <x:c r="D489" s="14" t="str">
        <x:f>INDEX(Clientes!$B$2:$B$101,MATCH(C489,Clientes!$A$2:$A$101,0))</x:f>
        <x:v>Enzo Esteves Junqueira</x:v>
      </x:c>
      <x:c r="E489" s="14" t="str">
        <x:v>PROD003</x:v>
      </x:c>
      <x:c r="F489" s="14" t="str">
        <x:f>INDEX(Produtos!$B$2:$B$11,MATCH(E489,Produtos!$A$2:$A$11,0))</x:f>
        <x:v>Fone Bluetooth</x:v>
      </x:c>
      <x:c r="G489" s="18" t="n">
        <x:v>1</x:v>
      </x:c>
      <x:c r="H489" s="17" t="n">
        <x:f>INDEX(Produtos!$D$2:$D$11,MATCH(E489,Produtos!$A$2:$A$11,0))</x:f>
        <x:v>129.9</x:v>
      </x:c>
      <x:c r="I489" s="17" t="n">
        <x:f>G489*H489</x:f>
        <x:v>129.9</x:v>
      </x:c>
      <x:c r="J489" s="14" t="str">
        <x:v>Boleto</x:v>
      </x:c>
      <x:c r="K489" s="14" t="str">
        <x:v>Processando</x:v>
      </x:c>
      <x:c r="L489" s="15" t="str">
        <x:f>INDEX(Clientes!$F$2:$F$101,MATCH(C489,Clientes!$A$2:$A$101,0))</x:f>
        <x:v>PR</x:v>
      </x:c>
    </x:row>
    <x:row r="490" ht="20" customHeight="1">
      <x:c r="A490" s="13" t="str">
        <x:v>PED00489</x:v>
      </x:c>
      <x:c r="B490" s="19" t="n">
        <x:v>46279</x:v>
      </x:c>
      <x:c r="C490" s="14" t="str">
        <x:v>CLI0034</x:v>
      </x:c>
      <x:c r="D490" s="14" t="str">
        <x:f>INDEX(Clientes!$B$2:$B$101,MATCH(C490,Clientes!$A$2:$A$101,0))</x:f>
        <x:v>Igor Nascimento Garcia</x:v>
      </x:c>
      <x:c r="E490" s="14" t="str">
        <x:v>PROD009</x:v>
      </x:c>
      <x:c r="F490" s="14" t="str">
        <x:f>INDEX(Produtos!$B$2:$B$11,MATCH(E490,Produtos!$A$2:$A$11,0))</x:f>
        <x:v>Carregador USB-C</x:v>
      </x:c>
      <x:c r="G490" s="18" t="n">
        <x:v>7</x:v>
      </x:c>
      <x:c r="H490" s="17" t="n">
        <x:f>INDEX(Produtos!$D$2:$D$11,MATCH(E490,Produtos!$A$2:$A$11,0))</x:f>
        <x:v>59.9</x:v>
      </x:c>
      <x:c r="I490" s="17" t="n">
        <x:f>G490*H490</x:f>
        <x:v>419.3</x:v>
      </x:c>
      <x:c r="J490" s="14" t="str">
        <x:v>Cartão de crédito</x:v>
      </x:c>
      <x:c r="K490" s="14" t="str">
        <x:v>Entregue</x:v>
      </x:c>
      <x:c r="L490" s="15" t="str">
        <x:f>INDEX(Clientes!$F$2:$F$101,MATCH(C490,Clientes!$A$2:$A$101,0))</x:f>
        <x:v>PR</x:v>
      </x:c>
    </x:row>
    <x:row r="491" ht="20" customHeight="1">
      <x:c r="A491" s="13" t="str">
        <x:v>PED00490</x:v>
      </x:c>
      <x:c r="B491" s="19" t="n">
        <x:v>46139</x:v>
      </x:c>
      <x:c r="C491" s="14" t="str">
        <x:v>CLI0008</x:v>
      </x:c>
      <x:c r="D491" s="14" t="str">
        <x:f>INDEX(Clientes!$B$2:$B$101,MATCH(C491,Clientes!$A$2:$A$101,0))</x:f>
        <x:v>Enzo Esteves Junqueira</x:v>
      </x:c>
      <x:c r="E491" s="14" t="str">
        <x:v>PROD005</x:v>
      </x:c>
      <x:c r="F491" s="14" t="str">
        <x:f>INDEX(Produtos!$B$2:$B$11,MATCH(E491,Produtos!$A$2:$A$11,0))</x:f>
        <x:v>Luminária de Mesa LED</x:v>
      </x:c>
      <x:c r="G491" s="18" t="n">
        <x:v>5</x:v>
      </x:c>
      <x:c r="H491" s="17" t="n">
        <x:f>INDEX(Produtos!$D$2:$D$11,MATCH(E491,Produtos!$A$2:$A$11,0))</x:f>
        <x:v>89.5</x:v>
      </x:c>
      <x:c r="I491" s="17" t="n">
        <x:f>G491*H491</x:f>
        <x:v>447.5</x:v>
      </x:c>
      <x:c r="J491" s="14" t="str">
        <x:v>Boleto</x:v>
      </x:c>
      <x:c r="K491" s="14" t="str">
        <x:v>Processando</x:v>
      </x:c>
      <x:c r="L491" s="15" t="str">
        <x:f>INDEX(Clientes!$F$2:$F$101,MATCH(C491,Clientes!$A$2:$A$101,0))</x:f>
        <x:v>PR</x:v>
      </x:c>
    </x:row>
    <x:row r="492" ht="20" customHeight="1">
      <x:c r="A492" s="13" t="str">
        <x:v>PED00491</x:v>
      </x:c>
      <x:c r="B492" s="19" t="n">
        <x:v>46111</x:v>
      </x:c>
      <x:c r="C492" s="14" t="str">
        <x:v>CLI0034</x:v>
      </x:c>
      <x:c r="D492" s="14" t="str">
        <x:f>INDEX(Clientes!$B$2:$B$101,MATCH(C492,Clientes!$A$2:$A$101,0))</x:f>
        <x:v>Igor Nascimento Garcia</x:v>
      </x:c>
      <x:c r="E492" s="14" t="str">
        <x:v>PROD003</x:v>
      </x:c>
      <x:c r="F492" s="14" t="str">
        <x:f>INDEX(Produtos!$B$2:$B$11,MATCH(E492,Produtos!$A$2:$A$11,0))</x:f>
        <x:v>Fone Bluetooth</x:v>
      </x:c>
      <x:c r="G492" s="18" t="n">
        <x:v>3</x:v>
      </x:c>
      <x:c r="H492" s="17" t="n">
        <x:f>INDEX(Produtos!$D$2:$D$11,MATCH(E492,Produtos!$A$2:$A$11,0))</x:f>
        <x:v>129.9</x:v>
      </x:c>
      <x:c r="I492" s="17" t="n">
        <x:f>G492*H492</x:f>
        <x:v>389.70000000000005</x:v>
      </x:c>
      <x:c r="J492" s="14" t="str">
        <x:v>Cartão de crédito</x:v>
      </x:c>
      <x:c r="K492" s="14" t="str">
        <x:v>Entregue</x:v>
      </x:c>
      <x:c r="L492" s="15" t="str">
        <x:f>INDEX(Clientes!$F$2:$F$101,MATCH(C492,Clientes!$A$2:$A$101,0))</x:f>
        <x:v>PR</x:v>
      </x:c>
    </x:row>
    <x:row r="493" ht="20" customHeight="1">
      <x:c r="A493" s="13" t="str">
        <x:v>PED00492</x:v>
      </x:c>
      <x:c r="B493" s="19" t="n">
        <x:v>46142</x:v>
      </x:c>
      <x:c r="C493" s="14" t="str">
        <x:v>CLI0084</x:v>
      </x:c>
      <x:c r="D493" s="14" t="str">
        <x:f>INDEX(Clientes!$B$2:$B$101,MATCH(C493,Clientes!$A$2:$A$101,0))</x:f>
        <x:v>Lucas Ibrahim Garcia</x:v>
      </x:c>
      <x:c r="E493" s="14" t="str">
        <x:v>PROD003</x:v>
      </x:c>
      <x:c r="F493" s="14" t="str">
        <x:f>INDEX(Produtos!$B$2:$B$11,MATCH(E493,Produtos!$A$2:$A$11,0))</x:f>
        <x:v>Fone Bluetooth</x:v>
      </x:c>
      <x:c r="G493" s="18" t="n">
        <x:v>1</x:v>
      </x:c>
      <x:c r="H493" s="17" t="n">
        <x:f>INDEX(Produtos!$D$2:$D$11,MATCH(E493,Produtos!$A$2:$A$11,0))</x:f>
        <x:v>129.9</x:v>
      </x:c>
      <x:c r="I493" s="17" t="n">
        <x:f>G493*H493</x:f>
        <x:v>129.9</x:v>
      </x:c>
      <x:c r="J493" s="14" t="str">
        <x:v>Boleto</x:v>
      </x:c>
      <x:c r="K493" s="14" t="str">
        <x:v>Processando</x:v>
      </x:c>
      <x:c r="L493" s="15" t="str">
        <x:f>INDEX(Clientes!$F$2:$F$101,MATCH(C493,Clientes!$A$2:$A$101,0))</x:f>
        <x:v>PR</x:v>
      </x:c>
    </x:row>
    <x:row r="494" ht="20" customHeight="1">
      <x:c r="A494" s="13" t="str">
        <x:v>PED00493</x:v>
      </x:c>
      <x:c r="B494" s="19" t="n">
        <x:v>46195</x:v>
      </x:c>
      <x:c r="C494" s="14" t="str">
        <x:v>CLI0078</x:v>
      </x:c>
      <x:c r="D494" s="14" t="str">
        <x:f>INDEX(Clientes!$B$2:$B$101,MATCH(C494,Clientes!$A$2:$A$101,0))</x:f>
        <x:v>Lucas Gomes Queiroz</x:v>
      </x:c>
      <x:c r="E494" s="14" t="str">
        <x:v>PROD007</x:v>
      </x:c>
      <x:c r="F494" s="14" t="str">
        <x:f>INDEX(Produtos!$B$2:$B$11,MATCH(E494,Produtos!$A$2:$A$11,0))</x:f>
        <x:v>Caneca Cerâmica</x:v>
      </x:c>
      <x:c r="G494" s="18" t="n">
        <x:v>7</x:v>
      </x:c>
      <x:c r="H494" s="17" t="n">
        <x:f>INDEX(Produtos!$D$2:$D$11,MATCH(E494,Produtos!$A$2:$A$11,0))</x:f>
        <x:v>32</x:v>
      </x:c>
      <x:c r="I494" s="17" t="n">
        <x:f>G494*H494</x:f>
        <x:v>224</x:v>
      </x:c>
      <x:c r="J494" s="14" t="str">
        <x:v>Cartão de crédito</x:v>
      </x:c>
      <x:c r="K494" s="14" t="str">
        <x:v>Entregue</x:v>
      </x:c>
      <x:c r="L494" s="15" t="str">
        <x:f>INDEX(Clientes!$F$2:$F$101,MATCH(C494,Clientes!$A$2:$A$101,0))</x:f>
        <x:v>SP</x:v>
      </x:c>
    </x:row>
    <x:row r="495" ht="20" customHeight="1">
      <x:c r="A495" s="13" t="str">
        <x:v>PED00494</x:v>
      </x:c>
      <x:c r="B495" s="19" t="n">
        <x:v>46056</x:v>
      </x:c>
      <x:c r="C495" s="14" t="str">
        <x:v>CLI0092</x:v>
      </x:c>
      <x:c r="D495" s="14" t="str">
        <x:f>INDEX(Clientes!$B$2:$B$101,MATCH(C495,Clientes!$A$2:$A$101,0))</x:f>
        <x:v>Henrique Ibrahim Duarte</x:v>
      </x:c>
      <x:c r="E495" s="14" t="str">
        <x:v>PROD007</x:v>
      </x:c>
      <x:c r="F495" s="14" t="str">
        <x:f>INDEX(Produtos!$B$2:$B$11,MATCH(E495,Produtos!$A$2:$A$11,0))</x:f>
        <x:v>Caneca Cerâmica</x:v>
      </x:c>
      <x:c r="G495" s="18" t="n">
        <x:v>5</x:v>
      </x:c>
      <x:c r="H495" s="17" t="n">
        <x:f>INDEX(Produtos!$D$2:$D$11,MATCH(E495,Produtos!$A$2:$A$11,0))</x:f>
        <x:v>32</x:v>
      </x:c>
      <x:c r="I495" s="17" t="n">
        <x:f>G495*H495</x:f>
        <x:v>160</x:v>
      </x:c>
      <x:c r="J495" s="14" t="str">
        <x:v>Boleto</x:v>
      </x:c>
      <x:c r="K495" s="14" t="str">
        <x:v>Processando</x:v>
      </x:c>
      <x:c r="L495" s="15" t="str">
        <x:f>INDEX(Clientes!$F$2:$F$101,MATCH(C495,Clientes!$A$2:$A$101,0))</x:f>
        <x:v>PR</x:v>
      </x:c>
    </x:row>
    <x:row r="496" ht="20" customHeight="1">
      <x:c r="A496" s="13" t="str">
        <x:v>PED00495</x:v>
      </x:c>
      <x:c r="B496" s="19" t="n">
        <x:v>46035</x:v>
      </x:c>
      <x:c r="C496" s="14" t="str">
        <x:v>CLI0034</x:v>
      </x:c>
      <x:c r="D496" s="14" t="str">
        <x:f>INDEX(Clientes!$B$2:$B$101,MATCH(C496,Clientes!$A$2:$A$101,0))</x:f>
        <x:v>Igor Nascimento Garcia</x:v>
      </x:c>
      <x:c r="E496" s="14" t="str">
        <x:v>PROD005</x:v>
      </x:c>
      <x:c r="F496" s="14" t="str">
        <x:f>INDEX(Produtos!$B$2:$B$11,MATCH(E496,Produtos!$A$2:$A$11,0))</x:f>
        <x:v>Luminária de Mesa LED</x:v>
      </x:c>
      <x:c r="G496" s="18" t="n">
        <x:v>3</x:v>
      </x:c>
      <x:c r="H496" s="17" t="n">
        <x:f>INDEX(Produtos!$D$2:$D$11,MATCH(E496,Produtos!$A$2:$A$11,0))</x:f>
        <x:v>89.5</x:v>
      </x:c>
      <x:c r="I496" s="17" t="n">
        <x:f>G496*H496</x:f>
        <x:v>268.5</x:v>
      </x:c>
      <x:c r="J496" s="14" t="str">
        <x:v>Cartão de crédito</x:v>
      </x:c>
      <x:c r="K496" s="14" t="str">
        <x:v>Entregue</x:v>
      </x:c>
      <x:c r="L496" s="15" t="str">
        <x:f>INDEX(Clientes!$F$2:$F$101,MATCH(C496,Clientes!$A$2:$A$101,0))</x:f>
        <x:v>PR</x:v>
      </x:c>
    </x:row>
    <x:row r="497" ht="20" customHeight="1">
      <x:c r="A497" s="13" t="str">
        <x:v>PED00496</x:v>
      </x:c>
      <x:c r="B497" s="19" t="n">
        <x:v>46268</x:v>
      </x:c>
      <x:c r="C497" s="14" t="str">
        <x:v>CLI0052</x:v>
      </x:c>
      <x:c r="D497" s="14" t="str">
        <x:f>INDEX(Clientes!$B$2:$B$101,MATCH(C497,Clientes!$A$2:$A$101,0))</x:f>
        <x:v>Caio Rocha Dias</x:v>
      </x:c>
      <x:c r="E497" s="14" t="str">
        <x:v>PROD007</x:v>
      </x:c>
      <x:c r="F497" s="14" t="str">
        <x:f>INDEX(Produtos!$B$2:$B$11,MATCH(E497,Produtos!$A$2:$A$11,0))</x:f>
        <x:v>Caneca Cerâmica</x:v>
      </x:c>
      <x:c r="G497" s="18" t="n">
        <x:v>1</x:v>
      </x:c>
      <x:c r="H497" s="17" t="n">
        <x:f>INDEX(Produtos!$D$2:$D$11,MATCH(E497,Produtos!$A$2:$A$11,0))</x:f>
        <x:v>32</x:v>
      </x:c>
      <x:c r="I497" s="17" t="n">
        <x:f>G497*H497</x:f>
        <x:v>32</x:v>
      </x:c>
      <x:c r="J497" s="14" t="str">
        <x:v>Boleto</x:v>
      </x:c>
      <x:c r="K497" s="14" t="str">
        <x:v>Processando</x:v>
      </x:c>
      <x:c r="L497" s="15" t="str">
        <x:f>INDEX(Clientes!$F$2:$F$101,MATCH(C497,Clientes!$A$2:$A$101,0))</x:f>
        <x:v>SP</x:v>
      </x:c>
    </x:row>
    <x:row r="498" ht="20" customHeight="1">
      <x:c r="A498" s="13" t="str">
        <x:v>PED00497</x:v>
      </x:c>
      <x:c r="B498" s="19" t="n">
        <x:v>46036</x:v>
      </x:c>
      <x:c r="C498" s="14" t="str">
        <x:v>CLI0034</x:v>
      </x:c>
      <x:c r="D498" s="14" t="str">
        <x:f>INDEX(Clientes!$B$2:$B$101,MATCH(C498,Clientes!$A$2:$A$101,0))</x:f>
        <x:v>Igor Nascimento Garcia</x:v>
      </x:c>
      <x:c r="E498" s="14" t="str">
        <x:v>PROD001</x:v>
      </x:c>
      <x:c r="F498" s="14" t="str">
        <x:f>INDEX(Produtos!$B$2:$B$11,MATCH(E498,Produtos!$A$2:$A$11,0))</x:f>
        <x:v>Caderno Universitário</x:v>
      </x:c>
      <x:c r="G498" s="18" t="n">
        <x:v>7</x:v>
      </x:c>
      <x:c r="H498" s="17" t="n">
        <x:f>INDEX(Produtos!$D$2:$D$11,MATCH(E498,Produtos!$A$2:$A$11,0))</x:f>
        <x:v>24.9</x:v>
      </x:c>
      <x:c r="I498" s="17" t="n">
        <x:f>G498*H498</x:f>
        <x:v>174.29999999999998</x:v>
      </x:c>
      <x:c r="J498" s="14" t="str">
        <x:v>Cartão de crédito</x:v>
      </x:c>
      <x:c r="K498" s="14" t="str">
        <x:v>Entregue</x:v>
      </x:c>
      <x:c r="L498" s="15" t="str">
        <x:f>INDEX(Clientes!$F$2:$F$101,MATCH(C498,Clientes!$A$2:$A$101,0))</x:f>
        <x:v>PR</x:v>
      </x:c>
    </x:row>
    <x:row r="499" ht="20" customHeight="1">
      <x:c r="A499" s="13" t="str">
        <x:v>PED00498</x:v>
      </x:c>
      <x:c r="B499" s="19" t="n">
        <x:v>46236</x:v>
      </x:c>
      <x:c r="C499" s="14" t="str">
        <x:v>CLI0064</x:v>
      </x:c>
      <x:c r="D499" s="14" t="str">
        <x:f>INDEX(Clientes!$B$2:$B$101,MATCH(C499,Clientes!$A$2:$A$101,0))</x:f>
        <x:v>Leonardo Ibrahim Machado</x:v>
      </x:c>
      <x:c r="E499" s="14" t="str">
        <x:v>PROD003</x:v>
      </x:c>
      <x:c r="F499" s="14" t="str">
        <x:f>INDEX(Produtos!$B$2:$B$11,MATCH(E499,Produtos!$A$2:$A$11,0))</x:f>
        <x:v>Fone Bluetooth</x:v>
      </x:c>
      <x:c r="G499" s="18" t="n">
        <x:v>5</x:v>
      </x:c>
      <x:c r="H499" s="17" t="n">
        <x:f>INDEX(Produtos!$D$2:$D$11,MATCH(E499,Produtos!$A$2:$A$11,0))</x:f>
        <x:v>129.9</x:v>
      </x:c>
      <x:c r="I499" s="17" t="n">
        <x:f>G499*H499</x:f>
        <x:v>649.5</x:v>
      </x:c>
      <x:c r="J499" s="14" t="str">
        <x:v>Boleto</x:v>
      </x:c>
      <x:c r="K499" s="14" t="str">
        <x:v>Processando</x:v>
      </x:c>
      <x:c r="L499" s="15" t="str">
        <x:f>INDEX(Clientes!$F$2:$F$101,MATCH(C499,Clientes!$A$2:$A$101,0))</x:f>
        <x:v>SP</x:v>
      </x:c>
    </x:row>
    <x:row r="500" ht="20" customHeight="1">
      <x:c r="A500" s="13" t="str">
        <x:v>PED00499</x:v>
      </x:c>
      <x:c r="B500" s="19" t="n">
        <x:v>46234</x:v>
      </x:c>
      <x:c r="C500" s="14" t="str">
        <x:v>CLI0006</x:v>
      </x:c>
      <x:c r="D500" s="14" t="str">
        <x:f>INDEX(Clientes!$B$2:$B$101,MATCH(C500,Clientes!$A$2:$A$101,0))</x:f>
        <x:v>Caio Cardoso Batista</x:v>
      </x:c>
      <x:c r="E500" s="14" t="str">
        <x:v>PROD003</x:v>
      </x:c>
      <x:c r="F500" s="14" t="str">
        <x:f>INDEX(Produtos!$B$2:$B$11,MATCH(E500,Produtos!$A$2:$A$11,0))</x:f>
        <x:v>Fone Bluetooth</x:v>
      </x:c>
      <x:c r="G500" s="18" t="n">
        <x:v>3</x:v>
      </x:c>
      <x:c r="H500" s="17" t="n">
        <x:f>INDEX(Produtos!$D$2:$D$11,MATCH(E500,Produtos!$A$2:$A$11,0))</x:f>
        <x:v>129.9</x:v>
      </x:c>
      <x:c r="I500" s="17" t="n">
        <x:f>G500*H500</x:f>
        <x:v>389.70000000000005</x:v>
      </x:c>
      <x:c r="J500" s="14" t="str">
        <x:v>Cartão de crédito</x:v>
      </x:c>
      <x:c r="K500" s="14" t="str">
        <x:v>Entregue</x:v>
      </x:c>
      <x:c r="L500" s="15" t="str">
        <x:f>INDEX(Clientes!$F$2:$F$101,MATCH(C500,Clientes!$A$2:$A$101,0))</x:f>
        <x:v>SP</x:v>
      </x:c>
    </x:row>
    <x:row r="501" ht="20" customHeight="1">
      <x:c r="A501" s="13" t="str">
        <x:v>PED00500</x:v>
      </x:c>
      <x:c r="B501" s="19" t="n">
        <x:v>46275</x:v>
      </x:c>
      <x:c r="C501" s="14" t="str">
        <x:v>CLI0020</x:v>
      </x:c>
      <x:c r="D501" s="14" t="str">
        <x:f>INDEX(Clientes!$B$2:$B$101,MATCH(C501,Clientes!$A$2:$A$101,0))</x:f>
        <x:v>João Esteves Garcia</x:v>
      </x:c>
      <x:c r="E501" s="14" t="str">
        <x:v>PROD007</x:v>
      </x:c>
      <x:c r="F501" s="14" t="str">
        <x:f>INDEX(Produtos!$B$2:$B$11,MATCH(E501,Produtos!$A$2:$A$11,0))</x:f>
        <x:v>Caneca Cerâmica</x:v>
      </x:c>
      <x:c r="G501" s="18" t="n">
        <x:v>1</x:v>
      </x:c>
      <x:c r="H501" s="17" t="n">
        <x:f>INDEX(Produtos!$D$2:$D$11,MATCH(E501,Produtos!$A$2:$A$11,0))</x:f>
        <x:v>32</x:v>
      </x:c>
      <x:c r="I501" s="17" t="n">
        <x:f>G501*H501</x:f>
        <x:v>32</x:v>
      </x:c>
      <x:c r="J501" s="14" t="str">
        <x:v>Boleto</x:v>
      </x:c>
      <x:c r="K501" s="14" t="str">
        <x:v>Processando</x:v>
      </x:c>
      <x:c r="L501" s="15" t="str">
        <x:f>INDEX(Clientes!$F$2:$F$101,MATCH(C501,Clientes!$A$2:$A$101,0))</x:f>
        <x:v>MG</x:v>
      </x:c>
    </x:row>
  </x:sheetData>
  <x:pageMargins left="0.7" right="0.7" top="0.75" bottom="0.75" header="0.3" footer="0.3"/>
  <x:tableParts count="1">
    <x:tablePart xmlns:r="http://schemas.openxmlformats.org/officeDocument/2006/relationships" r:id="R2d6f2272d00640bf"/>
  </x:tableParts>
</x:worksheet>
</file>